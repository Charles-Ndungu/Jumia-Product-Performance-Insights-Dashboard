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bddd7e84994c57a8/Documents/"/>
    </mc:Choice>
  </mc:AlternateContent>
  <xr:revisionPtr revIDLastSave="0" documentId="13_ncr:1_{71FC3E87-C33C-4571-8D87-03E7C759F745}" xr6:coauthVersionLast="47" xr6:coauthVersionMax="47" xr10:uidLastSave="{00000000-0000-0000-0000-000000000000}"/>
  <bookViews>
    <workbookView xWindow="-120" yWindow="-120" windowWidth="29040" windowHeight="15720" firstSheet="8" activeTab="11" xr2:uid="{9920A26E-BC51-4AAE-9B92-962C4E68CE32}"/>
  </bookViews>
  <sheets>
    <sheet name="Most &amp; Least Expensive" sheetId="8" r:id="rId1"/>
    <sheet name="AVG Rating by Disc &amp; Disc Cat" sheetId="2" r:id="rId2"/>
    <sheet name="Products Distr vs Rating Cat" sheetId="3" r:id="rId3"/>
    <sheet name="Rship btwn Disc% &amp; No. of Rev" sheetId="4" r:id="rId4"/>
    <sheet name="Rship btwn Rating &amp; No. of Rev" sheetId="13" r:id="rId5"/>
    <sheet name="Disc Cat vs Review Flag" sheetId="14" r:id="rId6"/>
    <sheet name="TOP 10 - Highest Disc Prdcts" sheetId="6" r:id="rId7"/>
    <sheet name="TOP 10 - Most reviews" sheetId="9" r:id="rId8"/>
    <sheet name="TOP 5 - Highest rated" sheetId="10" r:id="rId9"/>
    <sheet name="Bottom 5 - Lowest rated" sheetId="11" r:id="rId10"/>
    <sheet name="High Disc vs LowDisc " sheetId="12" r:id="rId11"/>
    <sheet name="Dashboard" sheetId="15" r:id="rId12"/>
    <sheet name="Excel_jumia" sheetId="1" r:id="rId13"/>
  </sheets>
  <definedNames>
    <definedName name="Slicer_Discount_Category__IF">#N/A</definedName>
    <definedName name="Slicer_Rating_Category">#N/A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M8" i="1"/>
  <c r="M6" i="1"/>
  <c r="L2" i="1"/>
  <c r="F111" i="1"/>
  <c r="B113" i="1"/>
  <c r="B114" i="1" s="1"/>
  <c r="J3" i="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s="1"/>
  <c r="J91" i="1" a="1"/>
  <c r="J91" i="1" s="1"/>
  <c r="J92" i="1" a="1"/>
  <c r="J92" i="1" s="1"/>
  <c r="J93" i="1" a="1"/>
  <c r="J93" i="1" s="1"/>
  <c r="J94" i="1" a="1"/>
  <c r="J94" i="1" s="1"/>
  <c r="J95" i="1" a="1"/>
  <c r="J95" i="1" s="1"/>
  <c r="J96" i="1" a="1"/>
  <c r="J96" i="1" s="1"/>
  <c r="J97" i="1" a="1"/>
  <c r="J97" i="1" s="1"/>
  <c r="J98" i="1" a="1"/>
  <c r="J98" i="1" s="1"/>
  <c r="J99" i="1" a="1"/>
  <c r="J99" i="1" s="1"/>
  <c r="J100" i="1" a="1"/>
  <c r="J100" i="1" s="1"/>
  <c r="J101" i="1" a="1"/>
  <c r="J101" i="1" s="1"/>
  <c r="J102" i="1" a="1"/>
  <c r="J102" i="1" s="1"/>
  <c r="J103" i="1" a="1"/>
  <c r="J103" i="1" s="1"/>
  <c r="J104" i="1" a="1"/>
  <c r="J104" i="1" s="1"/>
  <c r="J105" i="1" a="1"/>
  <c r="J105" i="1" s="1"/>
  <c r="J106" i="1" a="1"/>
  <c r="J106" i="1" s="1"/>
  <c r="J107" i="1" a="1"/>
  <c r="J107" i="1" s="1"/>
  <c r="J108" i="1" a="1"/>
  <c r="J108" i="1" s="1"/>
  <c r="J109" i="1" a="1"/>
  <c r="J109" i="1" s="1"/>
  <c r="J110" i="1" a="1"/>
  <c r="J110" i="1" s="1"/>
  <c r="J2" i="1" a="1"/>
  <c r="J2" i="1" s="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2" i="1"/>
  <c r="H3" i="1" a="1"/>
  <c r="H3" i="1" s="1"/>
  <c r="H4" i="1" a="1"/>
  <c r="H4" i="1" s="1"/>
  <c r="H5" i="1" a="1"/>
  <c r="H5" i="1" s="1"/>
  <c r="H6" i="1" a="1"/>
  <c r="H6" i="1" s="1"/>
  <c r="H7" i="1" a="1"/>
  <c r="H7" i="1" s="1"/>
  <c r="H8" i="1" a="1"/>
  <c r="H8" i="1" s="1"/>
  <c r="H9" i="1" a="1"/>
  <c r="H9" i="1" s="1"/>
  <c r="H10" i="1" a="1"/>
  <c r="H10" i="1" s="1"/>
  <c r="H11" i="1" a="1"/>
  <c r="H11" i="1" s="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33" i="1" a="1"/>
  <c r="H33" i="1" s="1"/>
  <c r="H34" i="1" a="1"/>
  <c r="H34" i="1" s="1"/>
  <c r="H35" i="1" a="1"/>
  <c r="H35" i="1" s="1"/>
  <c r="H36" i="1" a="1"/>
  <c r="H36" i="1" s="1"/>
  <c r="H37" i="1" a="1"/>
  <c r="H37" i="1" s="1"/>
  <c r="H38" i="1" a="1"/>
  <c r="H38" i="1" s="1"/>
  <c r="H39" i="1" a="1"/>
  <c r="H39" i="1" s="1"/>
  <c r="H40" i="1" a="1"/>
  <c r="H40" i="1" s="1"/>
  <c r="H41" i="1" a="1"/>
  <c r="H41" i="1" s="1"/>
  <c r="H42" i="1" a="1"/>
  <c r="H42" i="1" s="1"/>
  <c r="H43" i="1" a="1"/>
  <c r="H43" i="1" s="1"/>
  <c r="H44" i="1" a="1"/>
  <c r="H44" i="1" s="1"/>
  <c r="H45" i="1" a="1"/>
  <c r="H45" i="1" s="1"/>
  <c r="H46" i="1" a="1"/>
  <c r="H46" i="1" s="1"/>
  <c r="H47" i="1" a="1"/>
  <c r="H47" i="1" s="1"/>
  <c r="H48" i="1" a="1"/>
  <c r="H48" i="1" s="1"/>
  <c r="H49" i="1" a="1"/>
  <c r="H49" i="1" s="1"/>
  <c r="H50" i="1" a="1"/>
  <c r="H50" i="1" s="1"/>
  <c r="H51" i="1" a="1"/>
  <c r="H51" i="1" s="1"/>
  <c r="H52" i="1" a="1"/>
  <c r="H52" i="1" s="1"/>
  <c r="H53" i="1" a="1"/>
  <c r="H53" i="1" s="1"/>
  <c r="H54" i="1" a="1"/>
  <c r="H54" i="1" s="1"/>
  <c r="H55" i="1" a="1"/>
  <c r="H55" i="1" s="1"/>
  <c r="H56" i="1" a="1"/>
  <c r="H56" i="1" s="1"/>
  <c r="H57" i="1" a="1"/>
  <c r="H57" i="1" s="1"/>
  <c r="H58" i="1" a="1"/>
  <c r="H58" i="1" s="1"/>
  <c r="H59" i="1" a="1"/>
  <c r="H59" i="1" s="1"/>
  <c r="H60" i="1" a="1"/>
  <c r="H60" i="1" s="1"/>
  <c r="H61" i="1" a="1"/>
  <c r="H61" i="1" s="1"/>
  <c r="H62" i="1" a="1"/>
  <c r="H62" i="1" s="1"/>
  <c r="H63" i="1" a="1"/>
  <c r="H63" i="1" s="1"/>
  <c r="H64" i="1" a="1"/>
  <c r="H64" i="1" s="1"/>
  <c r="H65" i="1" a="1"/>
  <c r="H65" i="1" s="1"/>
  <c r="H66" i="1" a="1"/>
  <c r="H66" i="1" s="1"/>
  <c r="H67" i="1" a="1"/>
  <c r="H67" i="1" s="1"/>
  <c r="H68" i="1" a="1"/>
  <c r="H68" i="1" s="1"/>
  <c r="H69" i="1" a="1"/>
  <c r="H69" i="1" s="1"/>
  <c r="H70" i="1" a="1"/>
  <c r="H70" i="1" s="1"/>
  <c r="H71" i="1" a="1"/>
  <c r="H71" i="1" s="1"/>
  <c r="H72" i="1" a="1"/>
  <c r="H72" i="1" s="1"/>
  <c r="H73" i="1" a="1"/>
  <c r="H73" i="1" s="1"/>
  <c r="H74" i="1" a="1"/>
  <c r="H74" i="1" s="1"/>
  <c r="H75" i="1" a="1"/>
  <c r="H75" i="1" s="1"/>
  <c r="H76" i="1" a="1"/>
  <c r="H76" i="1" s="1"/>
  <c r="H77" i="1" a="1"/>
  <c r="H77" i="1" s="1"/>
  <c r="H78" i="1" a="1"/>
  <c r="H78" i="1" s="1"/>
  <c r="H79" i="1" a="1"/>
  <c r="H79" i="1" s="1"/>
  <c r="H80" i="1" a="1"/>
  <c r="H80" i="1" s="1"/>
  <c r="H81" i="1" a="1"/>
  <c r="H81" i="1" s="1"/>
  <c r="H82" i="1" a="1"/>
  <c r="H82" i="1" s="1"/>
  <c r="H83" i="1" a="1"/>
  <c r="H83" i="1" s="1"/>
  <c r="H84" i="1" a="1"/>
  <c r="H84" i="1" s="1"/>
  <c r="H85" i="1" a="1"/>
  <c r="H85" i="1" s="1"/>
  <c r="H86" i="1" a="1"/>
  <c r="H86" i="1" s="1"/>
  <c r="H87" i="1" a="1"/>
  <c r="H87" i="1" s="1"/>
  <c r="H88" i="1" a="1"/>
  <c r="H88" i="1" s="1"/>
  <c r="H89" i="1" a="1"/>
  <c r="H89" i="1" s="1"/>
  <c r="H90" i="1" a="1"/>
  <c r="H90" i="1" s="1"/>
  <c r="H91" i="1" a="1"/>
  <c r="H91" i="1" s="1"/>
  <c r="H92" i="1" a="1"/>
  <c r="H92" i="1" s="1"/>
  <c r="H93" i="1" a="1"/>
  <c r="H93" i="1" s="1"/>
  <c r="H94" i="1" a="1"/>
  <c r="H94" i="1" s="1"/>
  <c r="H95" i="1" a="1"/>
  <c r="H95" i="1" s="1"/>
  <c r="H96" i="1" a="1"/>
  <c r="H96" i="1" s="1"/>
  <c r="H97" i="1" a="1"/>
  <c r="H97" i="1" s="1"/>
  <c r="H98" i="1" a="1"/>
  <c r="H98" i="1" s="1"/>
  <c r="H99" i="1" a="1"/>
  <c r="H99" i="1" s="1"/>
  <c r="H100" i="1" a="1"/>
  <c r="H100" i="1" s="1"/>
  <c r="H101" i="1" a="1"/>
  <c r="H101" i="1" s="1"/>
  <c r="H102" i="1" a="1"/>
  <c r="H102" i="1" s="1"/>
  <c r="H103" i="1" a="1"/>
  <c r="H103" i="1" s="1"/>
  <c r="H104" i="1" a="1"/>
  <c r="H104" i="1" s="1"/>
  <c r="H105" i="1" a="1"/>
  <c r="H105" i="1" s="1"/>
  <c r="H106" i="1" a="1"/>
  <c r="H106" i="1" s="1"/>
  <c r="H107" i="1" a="1"/>
  <c r="H107" i="1" s="1"/>
  <c r="H108" i="1" a="1"/>
  <c r="H108" i="1" s="1"/>
  <c r="H109" i="1" a="1"/>
  <c r="H109" i="1" s="1"/>
  <c r="H110" i="1" a="1"/>
  <c r="H110" i="1" s="1"/>
  <c r="H2" i="1" a="1"/>
  <c r="H2" i="1" s="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2" i="1"/>
  <c r="E114" i="1"/>
  <c r="H117"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<sst xmlns="http://schemas.openxmlformats.org/spreadsheetml/2006/main" count="248" uniqueCount="180">
  <si>
    <t>Product</t>
  </si>
  <si>
    <t>Current price</t>
  </si>
  <si>
    <t>old price</t>
  </si>
  <si>
    <t>Discount</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</si>
  <si>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</si>
  <si>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</si>
  <si>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</si>
  <si>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</si>
  <si>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</si>
  <si>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</si>
  <si>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</si>
  <si>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</si>
  <si>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</si>
  <si>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</si>
  <si>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</si>
  <si>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</si>
  <si>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</si>
  <si>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</si>
  <si>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</si>
  <si>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</si>
  <si>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</si>
  <si>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</si>
  <si>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</si>
  <si>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</si>
  <si>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</si>
  <si>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</si>
  <si>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</si>
  <si>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</si>
  <si>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</si>
  <si>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</si>
  <si>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</si>
  <si>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</si>
  <si>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</si>
  <si>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</si>
  <si>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</si>
  <si>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</si>
  <si>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</si>
  <si>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</si>
  <si>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</si>
  <si>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</si>
  <si>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</si>
  <si>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</si>
  <si>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</si>
  <si>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</si>
  <si>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</si>
  <si>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</si>
  <si>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</si>
  <si>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</si>
  <si>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</si>
  <si>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</si>
  <si>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</si>
  <si>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</si>
  <si>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</si>
  <si>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</si>
  <si>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</si>
  <si>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</si>
  <si>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</si>
  <si>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</si>
  <si>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</si>
  <si>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</si>
  <si>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</si>
  <si>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</si>
  <si>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</si>
  <si>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</si>
  <si>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</si>
  <si>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</si>
  <si>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</si>
  <si>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</si>
  <si>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</si>
  <si>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</si>
  <si>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</si>
  <si>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</si>
  <si>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</si>
  <si>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</si>
  <si>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</si>
  <si>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</si>
  <si>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</si>
  <si>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</si>
  <si>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</si>
  <si>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</si>
  <si>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</si>
  <si>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</si>
  <si>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</si>
  <si>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</si>
  <si>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</si>
  <si>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</si>
  <si>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</si>
  <si>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</si>
  <si>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</si>
  <si>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</si>
  <si>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</si>
  <si>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</si>
  <si>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</si>
  <si>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</si>
  <si>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</si>
  <si>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</si>
  <si>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</si>
  <si>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</si>
  <si>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</si>
  <si>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</si>
  <si>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</si>
  <si>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</si>
  <si>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</si>
  <si>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</si>
  <si>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</si>
  <si>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</si>
  <si>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</si>
  <si>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</si>
  <si>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</si>
  <si>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</si>
  <si>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</si>
  <si>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</si>
  <si>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Rating</t>
  </si>
  <si>
    <t>MultiFunctional Storage Rack Multi-layer Booelf</t>
  </si>
  <si>
    <t>Review Flag</t>
  </si>
  <si>
    <t>Discount Amount</t>
  </si>
  <si>
    <t>Rating Category</t>
  </si>
  <si>
    <t>Max</t>
  </si>
  <si>
    <t>Min</t>
  </si>
  <si>
    <t>Discount Category - IFS</t>
  </si>
  <si>
    <t>Discount Category -IF</t>
  </si>
  <si>
    <t>Row Labels</t>
  </si>
  <si>
    <t>High Discount</t>
  </si>
  <si>
    <t>Low Discount</t>
  </si>
  <si>
    <t>Medium Discount</t>
  </si>
  <si>
    <t>Grand Total</t>
  </si>
  <si>
    <t>Sum of Discount Amount</t>
  </si>
  <si>
    <t>Percentage Discount</t>
  </si>
  <si>
    <t>Discount Amount.</t>
  </si>
  <si>
    <t>Avg Rating (Out of 5)</t>
  </si>
  <si>
    <t>Average</t>
  </si>
  <si>
    <t>Below</t>
  </si>
  <si>
    <t>Excellent</t>
  </si>
  <si>
    <t>Count of Product</t>
  </si>
  <si>
    <t>0.01-0.11</t>
  </si>
  <si>
    <t>0.11-0.21</t>
  </si>
  <si>
    <t>0.21-0.31</t>
  </si>
  <si>
    <t>0.31-0.41</t>
  </si>
  <si>
    <t>0.41-0.51</t>
  </si>
  <si>
    <t>0.51-0.61</t>
  </si>
  <si>
    <t>0.61-0.71</t>
  </si>
  <si>
    <t>Count of Review Flag</t>
  </si>
  <si>
    <t> The relationship between discount percentage and number of reviews</t>
  </si>
  <si>
    <t> Whether higher discounts lead to increased customer engagement</t>
  </si>
  <si>
    <t>NO</t>
  </si>
  <si>
    <t>CONTINUOUSLY INCREASING LINE</t>
  </si>
  <si>
    <t>LOWER DISCOUNTS LOWER RATINGS AND VICE VERSA</t>
  </si>
  <si>
    <t>What is the average current price, old price, discount percentage, and rating?</t>
  </si>
  <si>
    <t>AVG Current Price</t>
  </si>
  <si>
    <t>AVG Old Price</t>
  </si>
  <si>
    <t>AVG Discount</t>
  </si>
  <si>
    <t>AVG Rating</t>
  </si>
  <si>
    <t>Which product is the most expensive and which is the least expensive?</t>
  </si>
  <si>
    <t>Current Price</t>
  </si>
  <si>
    <t>Disc Cat</t>
  </si>
  <si>
    <t>Rating Cat</t>
  </si>
  <si>
    <t>Sum of Review Flag</t>
  </si>
  <si>
    <t>Average of Rating</t>
  </si>
  <si>
    <t> A comparison between high-discount and low-discount products based on average rating and number of reviews</t>
  </si>
  <si>
    <t>Average of Review Flag</t>
  </si>
  <si>
    <t>Products with medium discounts are rated noticeably better by customers than deeply discounted or barely discounted ones.</t>
  </si>
  <si>
    <t> Whether higher-rated products tend to have more reviews</t>
  </si>
  <si>
    <t>2-3</t>
  </si>
  <si>
    <t>3-4</t>
  </si>
  <si>
    <t>4-5</t>
  </si>
  <si>
    <t> The relationship between rating and number of reviews</t>
  </si>
  <si>
    <t> The top 5 highest-rated and bottom 5 lowest-rated products</t>
  </si>
  <si>
    <t> The top 10 products with the most reviews</t>
  </si>
  <si>
    <t> The top 10 products with the highest discounts</t>
  </si>
  <si>
    <t xml:space="preserve">  Average rating</t>
  </si>
  <si>
    <t> Average discount percentage </t>
  </si>
  <si>
    <t xml:space="preserve"> Total number of products  </t>
  </si>
  <si>
    <t>Total number of reviews</t>
  </si>
  <si>
    <t>Sum of Current price</t>
  </si>
  <si>
    <t>Price Flag</t>
  </si>
  <si>
    <t>Least Expensive</t>
  </si>
  <si>
    <t>Most Expensive</t>
  </si>
  <si>
    <t xml:space="preserve">Price </t>
  </si>
  <si>
    <t xml:space="preserve"> Review Flag</t>
  </si>
  <si>
    <t>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</si>
</sst>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KES]\ #,##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0B0F0"/>
        <bgColor indexed="64"/>
      </patternFill>
    </fill>
    <fill>
      <patternFill patternType="solid">
        <fgColor rgb="FFFF33CC"/>
        <bgColor indexed="64"/>
      </patternFill>
    </fill>
    <fill>
      <patternFill patternType="solid">
        <fgColor theme="0" tint="-0.249977111117893"/>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9" fontId="0" fillId="0" borderId="0" xfId="0" applyNumberFormat="1"/>
    <xf numFmtId="0" fontId="16" fillId="0" borderId="0" xfId="0" applyFont="1"/>
    <xf numFmtId="164" fontId="16" fillId="0" borderId="0" xfId="0" applyNumberFormat="1" applyFont="1"/>
    <xf numFmtId="164" fontId="0" fillId="0" borderId="0" xfId="0" applyNumberFormat="1"/>
    <xf numFmtId="0" fontId="16" fillId="0" borderId="0" xfId="0" applyFont="1" applyAlignment="1">
      <alignment horizontal="centerContinuous"/>
    </xf>
    <xf numFmtId="0" fontId="0" fillId="0" borderId="0" xfId="0" applyAlignment="1">
      <alignment horizontal="right"/>
    </xf>
    <xf numFmtId="0" fontId="0" fillId="0" borderId="0" xfId="0" pivotButton="1"/>
    <xf numFmtId="0" fontId="0" fillId="0" borderId="0" xfId="0" applyAlignment="1">
      <alignment horizontal="left"/>
    </xf>
    <xf numFmtId="9" fontId="0" fillId="0" borderId="0" xfId="0" applyNumberFormat="1" applyAlignment="1">
      <alignment horizontal="left"/>
    </xf>
    <xf numFmtId="0" fontId="16" fillId="33" borderId="0" xfId="0" applyFont="1" applyFill="1"/>
    <xf numFmtId="0" fontId="16" fillId="34" borderId="11" xfId="0" applyFont="1" applyFill="1" applyBorder="1" applyAlignment="1">
      <alignment horizontal="centerContinuous"/>
    </xf>
    <xf numFmtId="164" fontId="16" fillId="34" borderId="12" xfId="0" applyNumberFormat="1" applyFont="1" applyFill="1" applyBorder="1" applyAlignment="1">
      <alignment horizontal="centerContinuous"/>
    </xf>
    <xf numFmtId="0" fontId="16" fillId="34" borderId="12" xfId="0" applyFont="1" applyFill="1" applyBorder="1" applyAlignment="1">
      <alignment horizontal="centerContinuous"/>
    </xf>
    <xf numFmtId="0" fontId="16" fillId="34" borderId="13" xfId="0" applyFont="1" applyFill="1" applyBorder="1" applyAlignment="1">
      <alignment horizontal="centerContinuous"/>
    </xf>
    <xf numFmtId="164" fontId="16" fillId="33" borderId="14" xfId="0" applyNumberFormat="1" applyFont="1" applyFill="1" applyBorder="1"/>
    <xf numFmtId="0" fontId="16" fillId="33" borderId="14" xfId="0" applyFont="1" applyFill="1" applyBorder="1"/>
    <xf numFmtId="9" fontId="16" fillId="0" borderId="10" xfId="0" applyNumberFormat="1" applyFont="1" applyBorder="1"/>
    <xf numFmtId="164" fontId="16" fillId="0" borderId="10" xfId="0" applyNumberFormat="1" applyFont="1" applyBorder="1"/>
    <xf numFmtId="0" fontId="16" fillId="0" borderId="10" xfId="0" applyFont="1" applyBorder="1"/>
    <xf numFmtId="0" fontId="16" fillId="34" borderId="14" xfId="0" applyFont="1" applyFill="1" applyBorder="1"/>
    <xf numFmtId="0" fontId="16" fillId="0" borderId="16" xfId="0" applyFont="1" applyBorder="1"/>
    <xf numFmtId="0" fontId="16" fillId="0" borderId="18" xfId="0" applyFont="1" applyBorder="1"/>
    <xf numFmtId="0" fontId="16" fillId="0" borderId="15" xfId="0" applyFont="1" applyBorder="1"/>
    <xf numFmtId="0" fontId="16" fillId="0" borderId="17" xfId="0" applyFont="1" applyBorder="1"/>
    <xf numFmtId="0" fontId="16" fillId="35" borderId="10" xfId="0" applyFont="1" applyFill="1" applyBorder="1"/>
    <xf numFmtId="2" fontId="0" fillId="0" borderId="0" xfId="0" applyNumberFormat="1"/>
    <xf numFmtId="0" fontId="0" fillId="36" borderId="0" xfId="0" applyFill="1"/>
    <xf numFmtId="1" fontId="0" fillId="0" borderId="0" xfId="0" applyNumberFormat="1"/>
    <xf numFmtId="43" fontId="0" fillId="0" borderId="0" xfId="0" applyNumberFormat="1"/>
    <xf numFmtId="0" fontId="18" fillId="0" borderId="0" xfId="0" applyFont="1" applyAlignment="1">
      <alignment vertical="center"/>
    </xf>
    <xf numFmtId="0" fontId="16" fillId="34" borderId="0" xfId="0" applyFon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fill>
        <patternFill>
          <bgColor theme="5"/>
        </patternFill>
      </fill>
    </dxf>
    <dxf>
      <numFmt numFmtId="0" formatCode="General"/>
    </dxf>
    <dxf>
      <numFmt numFmtId="164" formatCode="[$KES]\ #,##0"/>
    </dxf>
    <dxf>
      <numFmt numFmtId="164" formatCode="[$KES]\ #,##0"/>
    </dxf>
    <dxf>
      <numFmt numFmtId="13" formatCode="0%"/>
    </dxf>
    <dxf>
      <numFmt numFmtId="13" formatCode="0%"/>
    </dxf>
    <dxf>
      <numFmt numFmtId="164" formatCode="[$KES]\ #,##0"/>
    </dxf>
    <dxf>
      <numFmt numFmtId="164" formatCode="[$KES]\ #,##0"/>
    </dxf>
    <dxf>
      <numFmt numFmtId="164" formatCode="[$KES]\ #,##0"/>
    </dxf>
    <dxf>
      <numFmt numFmtId="164" formatCode="[$KES]\ #,##0"/>
    </dxf>
    <dxf>
      <font>
        <b/>
        <i val="0"/>
        <strike val="0"/>
        <condense val="0"/>
        <extend val="0"/>
        <outline val="0"/>
        <shadow val="0"/>
        <u val="none"/>
        <vertAlign val="baseline"/>
        <sz val="11"/>
        <color theme="1"/>
        <name val="Calibri"/>
        <family val="2"/>
        <scheme val="minor"/>
      </font>
    </dxf>
    <dxf>
      <numFmt numFmtId="2" formatCode="0.00"/>
    </dxf>
    <dxf>
      <numFmt numFmtId="35" formatCode="_(* #,##0.00_);_(* \(#,##0.00\);_(* &quot;-&quot;??_);_(@_)"/>
    </dxf>
  </dxfs>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[jumia Product Performance.xlsx]Most &amp; Least Expensive!PivotTable9</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solidFill>
                  <a:srgbClr val="FF0000"/>
                </a:solidFill>
              </a:rPr>
              <a:t>Most / Least expensive products</a:t>
            </a:r>
          </a:p>
        </c:rich>
      </c:tx>
      <c:layout>
        <c:manualLayout>
          <c:xMode val="edge"/>
          <c:yMode val="edge"/>
          <c:x val="0.30899300087489062"/>
          <c:y val="5.45348498104403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&amp; Least Expensive'!$C$13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&amp; Least Expensive'!$B$14:$B$16</c:f>
              <c:strCache>
                <c:ptCount val="2"/>
                <c:pt idx="0">
                  <c:v>Least Expensive</c:v>
                </c:pt>
                <c:pt idx="1">
                  <c:v>Most Expensive</c:v>
                </c:pt>
              </c:strCache>
            </c:strRef>
          </c:cat>
          <c:val>
            <c:numRef>
              <c:f>'Most &amp; Least Expensive'!$C$14:$C$16</c:f>
              <c:numCache>
                <c:formatCode>[$KES]\ #,##0</c:formatCode>
                <c:ptCount val="2"/>
                <c:pt idx="0">
                  <c:v>38</c:v>
                </c:pt>
                <c:pt idx="1">
                  <c:v>3750</c:v>
                </c:pt>
              </c:numCache>
            </c:numRef>
          </c:val>
          <c:extLst>
            <c:ext xmlns:c16="http://schemas.microsoft.com/office/drawing/2014/chart" uri="{C3380CC4-5D6E-409C-BE32-E72D297353CC}">
              <c16:uniqueId val="{00000000-C208-4BBF-9203-1786B5374FA5}"/>
            </c:ext>
          </c:extLst>
        </c:ser>
        <c:dLbls>
          <c:showLegendKey val="0"/>
          <c:showVal val="0"/>
          <c:showCatName val="0"/>
          <c:showSerName val="0"/>
          <c:showPercent val="0"/>
          <c:showBubbleSize val="0"/>
        </c:dLbls>
        <c:gapWidth val="219"/>
        <c:overlap val="-27"/>
        <c:axId val="1841967919"/>
        <c:axId val="1841960239"/>
      </c:barChart>
      <c:catAx>
        <c:axId val="184196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41960239"/>
        <c:crosses val="autoZero"/>
        <c:auto val="1"/>
        <c:lblAlgn val="ctr"/>
        <c:lblOffset val="100"/>
        <c:noMultiLvlLbl val="0"/>
      </c:catAx>
      <c:valAx>
        <c:axId val="1841960239"/>
        <c:scaling>
          <c:orientation val="minMax"/>
        </c:scaling>
        <c:delete val="0"/>
        <c:axPos val="l"/>
        <c:majorGridlines>
          <c:spPr>
            <a:ln w="9525" cap="flat" cmpd="sng" algn="ctr">
              <a:solidFill>
                <a:schemeClr val="tx1">
                  <a:lumMod val="15000"/>
                  <a:lumOff val="85000"/>
                </a:schemeClr>
              </a:solidFill>
              <a:round/>
            </a:ln>
            <a:effectLst/>
          </c:spPr>
        </c:majorGridlines>
        <c:numFmt formatCode="[$KES]\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4196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i="0"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Performance.xlsx]Rship btwn Rating &amp; No. of Rev!PivotTable6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Rating vs Review</a:t>
            </a:r>
          </a:p>
        </c:rich>
      </c:tx>
      <c:layout>
        <c:manualLayout>
          <c:xMode val="edge"/>
          <c:yMode val="edge"/>
          <c:x val="0.3266804461942257"/>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25817475940507434"/>
          <c:y val="0.22454943132108487"/>
          <c:w val="0.40517825896762905"/>
          <c:h val="0.67529709827938178"/>
        </c:manualLayout>
      </c:layout>
      <c:doughnutChart>
        <c:varyColors val="1"/>
        <c:ser>
          <c:idx val="0"/>
          <c:order val="0"/>
          <c:tx>
            <c:strRef>
              <c:f>'Rship btwn Rating &amp; No. of Rev'!$B$3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A9-49EC-AC04-9ACDC3CC89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A9-49EC-AC04-9ACDC3CC89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A9-49EC-AC04-9ACDC3CC890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'Rship btwn Rating &amp; No. of Rev'!$A$4:$A$7</c:f>
              <c:strCache>
                <c:ptCount val="3"/>
                <c:pt idx="0">
                  <c:v>2-3</c:v>
                </c:pt>
                <c:pt idx="1">
                  <c:v>3-4</c:v>
                </c:pt>
                <c:pt idx="2">
                  <c:v>4-5</c:v>
                </c:pt>
              </c:strCache>
            </c:strRef>
          </c:cat>
          <c:val>
            <c:numRef>
              <c:f>'Rship btwn Rating &amp; No. of Rev'!$B$4:$B$7</c:f>
              <c:numCache>
                <c:formatCode>General</c:formatCode>
                <c:ptCount val="3"/>
                <c:pt idx="0">
                  <c:v>169</c:v>
                </c:pt>
                <c:pt idx="1">
                  <c:v>69</c:v>
                </c:pt>
                <c:pt idx="2">
                  <c:v>485</c:v>
                </c:pt>
              </c:numCache>
            </c:numRef>
          </c:val>
          <c:extLst>
            <c:ext xmlns:c16="http://schemas.microsoft.com/office/drawing/2014/chart" uri="{C3380CC4-5D6E-409C-BE32-E72D297353CC}">
              <c16:uniqueId val="{00000000-281E-4E54-89E7-41E94B43883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Performance.xlsx]Disc Cat vs Review Flag!PivotTable7</c:name>
    <c:fmtId val="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solidFill>
                  <a:srgbClr val="FF0000"/>
                </a:solidFill>
              </a:rPr>
              <a:t>Disc Cat vs No. of Reviews</a:t>
            </a:r>
          </a:p>
        </c:rich>
      </c:tx>
      <c:layout>
        <c:manualLayout>
          <c:xMode val="edge"/>
          <c:yMode val="edge"/>
          <c:x val="0.33694444444444449"/>
          <c:y val="3.601633129192184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 Cat vs Review Flag'!$B$3</c:f>
              <c:strCache>
                <c:ptCount val="1"/>
                <c:pt idx="0">
                  <c:v>Total</c:v>
                </c:pt>
              </c:strCache>
            </c:strRef>
          </c:tx>
          <c:spPr>
            <a:solidFill>
              <a:schemeClr val="accent1"/>
            </a:solidFill>
            <a:ln>
              <a:noFill/>
            </a:ln>
            <a:effectLst/>
          </c:spPr>
          <c:invertIfNegative val="0"/>
          <c:cat>
            <c:strRef>
              <c:f>'Disc Cat vs Review Flag'!$A$4:$A$7</c:f>
              <c:strCache>
                <c:ptCount val="3"/>
                <c:pt idx="0">
                  <c:v>High Discount</c:v>
                </c:pt>
                <c:pt idx="1">
                  <c:v>Low Discount</c:v>
                </c:pt>
                <c:pt idx="2">
                  <c:v>Medium Discount</c:v>
                </c:pt>
              </c:strCache>
            </c:strRef>
          </c:cat>
          <c:val>
            <c:numRef>
              <c:f>'Disc Cat vs Review Flag'!$B$4:$B$7</c:f>
              <c:numCache>
                <c:formatCode>General</c:formatCode>
                <c:ptCount val="3"/>
                <c:pt idx="0">
                  <c:v>59</c:v>
                </c:pt>
                <c:pt idx="1">
                  <c:v>19</c:v>
                </c:pt>
                <c:pt idx="2">
                  <c:v>31</c:v>
                </c:pt>
              </c:numCache>
            </c:numRef>
          </c:val>
          <c:extLst>
            <c:ext xmlns:c16="http://schemas.microsoft.com/office/drawing/2014/chart" uri="{C3380CC4-5D6E-409C-BE32-E72D297353CC}">
              <c16:uniqueId val="{00000000-EB75-4668-A43F-46F0DD0E701E}"/>
            </c:ext>
          </c:extLst>
        </c:ser>
        <c:dLbls>
          <c:showLegendKey val="0"/>
          <c:showVal val="0"/>
          <c:showCatName val="0"/>
          <c:showSerName val="0"/>
          <c:showPercent val="0"/>
          <c:showBubbleSize val="0"/>
        </c:dLbls>
        <c:gapWidth val="219"/>
        <c:overlap val="-27"/>
        <c:axId val="49532783"/>
        <c:axId val="49533743"/>
      </c:barChart>
      <c:catAx>
        <c:axId val="4953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9533743"/>
        <c:crosses val="autoZero"/>
        <c:auto val="1"/>
        <c:lblAlgn val="ctr"/>
        <c:lblOffset val="100"/>
        <c:noMultiLvlLbl val="0"/>
      </c:catAx>
      <c:valAx>
        <c:axId val="4953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953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i="0"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Performance.xlsx]High Disc vs LowDisc !PivotTable5</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solidFill>
                  <a:srgbClr val="FF0000"/>
                </a:solidFill>
              </a:rPr>
              <a:t>Disc vs Review &amp; Rating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 Disc vs LowDisc '!$B$3</c:f>
              <c:strCache>
                <c:ptCount val="1"/>
                <c:pt idx="0">
                  <c:v>Average of Rating</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 Disc vs LowDisc '!$A$4:$A$7</c:f>
              <c:strCache>
                <c:ptCount val="3"/>
                <c:pt idx="0">
                  <c:v>Medium Discount</c:v>
                </c:pt>
                <c:pt idx="1">
                  <c:v>Low Discount</c:v>
                </c:pt>
                <c:pt idx="2">
                  <c:v>High Discount</c:v>
                </c:pt>
              </c:strCache>
            </c:strRef>
          </c:cat>
          <c:val>
            <c:numRef>
              <c:f>'High Disc vs LowDisc '!$B$4:$B$7</c:f>
              <c:numCache>
                <c:formatCode>0.00</c:formatCode>
                <c:ptCount val="3"/>
                <c:pt idx="0">
                  <c:v>4.1709999999999994</c:v>
                </c:pt>
                <c:pt idx="1">
                  <c:v>3.8655789473684217</c:v>
                </c:pt>
                <c:pt idx="2">
                  <c:v>3.7488305084745779</c:v>
                </c:pt>
              </c:numCache>
            </c:numRef>
          </c:val>
          <c:extLst>
            <c:ext xmlns:c16="http://schemas.microsoft.com/office/drawing/2014/chart" uri="{C3380CC4-5D6E-409C-BE32-E72D297353CC}">
              <c16:uniqueId val="{00000000-FD17-41B1-8E5B-E23030A8C2B3}"/>
            </c:ext>
          </c:extLst>
        </c:ser>
        <c:ser>
          <c:idx val="1"/>
          <c:order val="1"/>
          <c:tx>
            <c:strRef>
              <c:f>'High Disc vs LowDisc '!$C$3</c:f>
              <c:strCache>
                <c:ptCount val="1"/>
                <c:pt idx="0">
                  <c:v>Average of Review Flag</c:v>
                </c:pt>
              </c:strCache>
            </c:strRef>
          </c:tx>
          <c:spPr>
            <a:solidFill>
              <a:schemeClr val="accent2"/>
            </a:solidFill>
            <a:ln>
              <a:noFill/>
            </a:ln>
            <a:effectLst/>
          </c:spPr>
          <c:invertIfNegative val="0"/>
          <c:cat>
            <c:strRef>
              <c:f>'High Disc vs LowDisc '!$A$4:$A$7</c:f>
              <c:strCache>
                <c:ptCount val="3"/>
                <c:pt idx="0">
                  <c:v>Medium Discount</c:v>
                </c:pt>
                <c:pt idx="1">
                  <c:v>Low Discount</c:v>
                </c:pt>
                <c:pt idx="2">
                  <c:v>High Discount</c:v>
                </c:pt>
              </c:strCache>
            </c:strRef>
          </c:cat>
          <c:val>
            <c:numRef>
              <c:f>'High Disc vs LowDisc '!$C$4:$C$7</c:f>
              <c:numCache>
                <c:formatCode>0.00</c:formatCode>
                <c:ptCount val="3"/>
                <c:pt idx="0">
                  <c:v>10.935483870967742</c:v>
                </c:pt>
                <c:pt idx="1">
                  <c:v>2.6315789473684212</c:v>
                </c:pt>
                <c:pt idx="2">
                  <c:v>5.6610169491525424</c:v>
                </c:pt>
              </c:numCache>
            </c:numRef>
          </c:val>
          <c:extLst>
            <c:ext xmlns:c16="http://schemas.microsoft.com/office/drawing/2014/chart" uri="{C3380CC4-5D6E-409C-BE32-E72D297353CC}">
              <c16:uniqueId val="{00000001-FD17-41B1-8E5B-E23030A8C2B3}"/>
            </c:ext>
          </c:extLst>
        </c:ser>
        <c:ser>
          <c:idx val="2"/>
          <c:order val="2"/>
          <c:tx>
            <c:strRef>
              <c:f>'High Disc vs LowDisc '!$D$3</c:f>
              <c:strCache>
                <c:ptCount val="1"/>
                <c:pt idx="0">
                  <c:v>Count of Review Flag</c:v>
                </c:pt>
              </c:strCache>
            </c:strRef>
          </c:tx>
          <c:spPr>
            <a:solidFill>
              <a:schemeClr val="accent3"/>
            </a:solidFill>
            <a:ln>
              <a:noFill/>
            </a:ln>
            <a:effectLst/>
          </c:spPr>
          <c:invertIfNegative val="0"/>
          <c:cat>
            <c:strRef>
              <c:f>'High Disc vs LowDisc '!$A$4:$A$7</c:f>
              <c:strCache>
                <c:ptCount val="3"/>
                <c:pt idx="0">
                  <c:v>Medium Discount</c:v>
                </c:pt>
                <c:pt idx="1">
                  <c:v>Low Discount</c:v>
                </c:pt>
                <c:pt idx="2">
                  <c:v>High Discount</c:v>
                </c:pt>
              </c:strCache>
            </c:strRef>
          </c:cat>
          <c:val>
            <c:numRef>
              <c:f>'High Disc vs LowDisc '!$D$4:$D$7</c:f>
              <c:numCache>
                <c:formatCode>General</c:formatCode>
                <c:ptCount val="3"/>
                <c:pt idx="0">
                  <c:v>31</c:v>
                </c:pt>
                <c:pt idx="1">
                  <c:v>19</c:v>
                </c:pt>
                <c:pt idx="2">
                  <c:v>59</c:v>
                </c:pt>
              </c:numCache>
            </c:numRef>
          </c:val>
          <c:extLst>
            <c:ext xmlns:c16="http://schemas.microsoft.com/office/drawing/2014/chart" uri="{C3380CC4-5D6E-409C-BE32-E72D297353CC}">
              <c16:uniqueId val="{00000002-FD17-41B1-8E5B-E23030A8C2B3}"/>
            </c:ext>
          </c:extLst>
        </c:ser>
        <c:dLbls>
          <c:showLegendKey val="0"/>
          <c:showVal val="0"/>
          <c:showCatName val="0"/>
          <c:showSerName val="0"/>
          <c:showPercent val="0"/>
          <c:showBubbleSize val="0"/>
        </c:dLbls>
        <c:gapWidth val="219"/>
        <c:overlap val="-27"/>
        <c:axId val="49541423"/>
        <c:axId val="49549103"/>
      </c:barChart>
      <c:catAx>
        <c:axId val="4954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9549103"/>
        <c:crosses val="autoZero"/>
        <c:auto val="1"/>
        <c:lblAlgn val="ctr"/>
        <c:lblOffset val="100"/>
        <c:noMultiLvlLbl val="0"/>
      </c:catAx>
      <c:valAx>
        <c:axId val="495491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954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i="0"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[jumia Product Performance.xlsx]Most &amp; Least Expensive!PivotTable9</c:name>
    <c:fmtId val="1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solidFill>
                  <a:srgbClr val="FF0000"/>
                </a:solidFill>
              </a:rPr>
              <a:t>Most / Least expensive products</a:t>
            </a:r>
          </a:p>
        </c:rich>
      </c:tx>
      <c:layout>
        <c:manualLayout>
          <c:xMode val="edge"/>
          <c:yMode val="edge"/>
          <c:x val="0.30899300087489062"/>
          <c:y val="5.45348498104403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&amp; Least Expensive'!$C$13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&amp; Least Expensive'!$B$14:$B$16</c:f>
              <c:strCache>
                <c:ptCount val="2"/>
                <c:pt idx="0">
                  <c:v>Least Expensive</c:v>
                </c:pt>
                <c:pt idx="1">
                  <c:v>Most Expensive</c:v>
                </c:pt>
              </c:strCache>
            </c:strRef>
          </c:cat>
          <c:val>
            <c:numRef>
              <c:f>'Most &amp; Least Expensive'!$C$14:$C$16</c:f>
              <c:numCache>
                <c:formatCode>[$KES]\ #,##0</c:formatCode>
                <c:ptCount val="2"/>
                <c:pt idx="0">
                  <c:v>38</c:v>
                </c:pt>
                <c:pt idx="1">
                  <c:v>3750</c:v>
                </c:pt>
              </c:numCache>
            </c:numRef>
          </c:val>
          <c:extLst>
            <c:ext xmlns:c16="http://schemas.microsoft.com/office/drawing/2014/chart" uri="{C3380CC4-5D6E-409C-BE32-E72D297353CC}">
              <c16:uniqueId val="{00000000-6DBA-4C47-8F49-9FA47B91D5BF}"/>
            </c:ext>
          </c:extLst>
        </c:ser>
        <c:dLbls>
          <c:showLegendKey val="0"/>
          <c:showVal val="0"/>
          <c:showCatName val="0"/>
          <c:showSerName val="0"/>
          <c:showPercent val="0"/>
          <c:showBubbleSize val="0"/>
        </c:dLbls>
        <c:gapWidth val="219"/>
        <c:overlap val="-27"/>
        <c:axId val="1841967919"/>
        <c:axId val="1841960239"/>
      </c:barChart>
      <c:catAx>
        <c:axId val="184196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41960239"/>
        <c:crosses val="autoZero"/>
        <c:auto val="1"/>
        <c:lblAlgn val="ctr"/>
        <c:lblOffset val="100"/>
        <c:noMultiLvlLbl val="0"/>
      </c:catAx>
      <c:valAx>
        <c:axId val="1841960239"/>
        <c:scaling>
          <c:orientation val="minMax"/>
        </c:scaling>
        <c:delete val="0"/>
        <c:axPos val="l"/>
        <c:majorGridlines>
          <c:spPr>
            <a:ln w="9525" cap="flat" cmpd="sng" algn="ctr">
              <a:solidFill>
                <a:schemeClr val="tx1">
                  <a:lumMod val="15000"/>
                  <a:lumOff val="85000"/>
                </a:schemeClr>
              </a:solidFill>
              <a:round/>
            </a:ln>
            <a:effectLst/>
          </c:spPr>
        </c:majorGridlines>
        <c:numFmt formatCode="[$KES]\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4196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i="0"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Performance.xlsx]Rship btwn Rating &amp; No. of Rev!PivotTable6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Rating vs Review</a:t>
            </a:r>
          </a:p>
        </c:rich>
      </c:tx>
      <c:layout>
        <c:manualLayout>
          <c:xMode val="edge"/>
          <c:yMode val="edge"/>
          <c:x val="0.3266804461942257"/>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5817475940507434"/>
          <c:y val="0.22454943132108487"/>
          <c:w val="0.40517825896762905"/>
          <c:h val="0.67529709827938178"/>
        </c:manualLayout>
      </c:layout>
      <c:doughnutChart>
        <c:varyColors val="1"/>
        <c:ser>
          <c:idx val="0"/>
          <c:order val="0"/>
          <c:tx>
            <c:strRef>
              <c:f>'Rship btwn Rating &amp; No. of Rev'!$B$3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E2-46BA-BD69-BF108D6AD7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E2-46BA-BD69-BF108D6AD7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E2-46BA-BD69-BF108D6AD7C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'Rship btwn Rating &amp; No. of Rev'!$A$4:$A$7</c:f>
              <c:strCache>
                <c:ptCount val="3"/>
                <c:pt idx="0">
                  <c:v>2-3</c:v>
                </c:pt>
                <c:pt idx="1">
                  <c:v>3-4</c:v>
                </c:pt>
                <c:pt idx="2">
                  <c:v>4-5</c:v>
                </c:pt>
              </c:strCache>
            </c:strRef>
          </c:cat>
          <c:val>
            <c:numRef>
              <c:f>'Rship btwn Rating &amp; No. of Rev'!$B$4:$B$7</c:f>
              <c:numCache>
                <c:formatCode>General</c:formatCode>
                <c:ptCount val="3"/>
                <c:pt idx="0">
                  <c:v>169</c:v>
                </c:pt>
                <c:pt idx="1">
                  <c:v>69</c:v>
                </c:pt>
                <c:pt idx="2">
                  <c:v>485</c:v>
                </c:pt>
              </c:numCache>
            </c:numRef>
          </c:val>
          <c:extLst>
            <c:ext xmlns:c16="http://schemas.microsoft.com/office/drawing/2014/chart" uri="{C3380CC4-5D6E-409C-BE32-E72D297353CC}">
              <c16:uniqueId val="{00000006-FDE2-46BA-BD69-BF108D6AD7C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Performance.xlsx]Disc Cat vs Review Flag!PivotTable7</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solidFill>
                  <a:srgbClr val="FF0000"/>
                </a:solidFill>
              </a:rPr>
              <a:t>Disc Cat vs No. of Reviews</a:t>
            </a:r>
          </a:p>
        </c:rich>
      </c:tx>
      <c:layout>
        <c:manualLayout>
          <c:xMode val="edge"/>
          <c:yMode val="edge"/>
          <c:x val="0.33694444444444449"/>
          <c:y val="3.601633129192184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 Cat vs Review Flag'!$B$3</c:f>
              <c:strCache>
                <c:ptCount val="1"/>
                <c:pt idx="0">
                  <c:v>Total</c:v>
                </c:pt>
              </c:strCache>
            </c:strRef>
          </c:tx>
          <c:spPr>
            <a:solidFill>
              <a:schemeClr val="accent1"/>
            </a:solidFill>
            <a:ln>
              <a:noFill/>
            </a:ln>
            <a:effectLst/>
          </c:spPr>
          <c:invertIfNegative val="0"/>
          <c:cat>
            <c:strRef>
              <c:f>'Disc Cat vs Review Flag'!$A$4:$A$7</c:f>
              <c:strCache>
                <c:ptCount val="3"/>
                <c:pt idx="0">
                  <c:v>High Discount</c:v>
                </c:pt>
                <c:pt idx="1">
                  <c:v>Low Discount</c:v>
                </c:pt>
                <c:pt idx="2">
                  <c:v>Medium Discount</c:v>
                </c:pt>
              </c:strCache>
            </c:strRef>
          </c:cat>
          <c:val>
            <c:numRef>
              <c:f>'Disc Cat vs Review Flag'!$B$4:$B$7</c:f>
              <c:numCache>
                <c:formatCode>General</c:formatCode>
                <c:ptCount val="3"/>
                <c:pt idx="0">
                  <c:v>59</c:v>
                </c:pt>
                <c:pt idx="1">
                  <c:v>19</c:v>
                </c:pt>
                <c:pt idx="2">
                  <c:v>31</c:v>
                </c:pt>
              </c:numCache>
            </c:numRef>
          </c:val>
          <c:extLst>
            <c:ext xmlns:c16="http://schemas.microsoft.com/office/drawing/2014/chart" uri="{C3380CC4-5D6E-409C-BE32-E72D297353CC}">
              <c16:uniqueId val="{00000000-7AA7-404B-839B-190C204C489D}"/>
            </c:ext>
          </c:extLst>
        </c:ser>
        <c:dLbls>
          <c:showLegendKey val="0"/>
          <c:showVal val="0"/>
          <c:showCatName val="0"/>
          <c:showSerName val="0"/>
          <c:showPercent val="0"/>
          <c:showBubbleSize val="0"/>
        </c:dLbls>
        <c:gapWidth val="219"/>
        <c:overlap val="-27"/>
        <c:axId val="49532783"/>
        <c:axId val="49533743"/>
      </c:barChart>
      <c:catAx>
        <c:axId val="4953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9533743"/>
        <c:crosses val="autoZero"/>
        <c:auto val="1"/>
        <c:lblAlgn val="ctr"/>
        <c:lblOffset val="100"/>
        <c:noMultiLvlLbl val="0"/>
      </c:catAx>
      <c:valAx>
        <c:axId val="4953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953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i="0"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Performance.xlsx]High Disc vs LowDisc !PivotTable5</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solidFill>
                  <a:srgbClr val="FF0000"/>
                </a:solidFill>
              </a:rPr>
              <a:t>Disc vs Review &amp; Rating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 Disc vs LowDisc '!$B$3</c:f>
              <c:strCache>
                <c:ptCount val="1"/>
                <c:pt idx="0">
                  <c:v>Average of Rating</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 Disc vs LowDisc '!$A$4:$A$7</c:f>
              <c:strCache>
                <c:ptCount val="3"/>
                <c:pt idx="0">
                  <c:v>Medium Discount</c:v>
                </c:pt>
                <c:pt idx="1">
                  <c:v>Low Discount</c:v>
                </c:pt>
                <c:pt idx="2">
                  <c:v>High Discount</c:v>
                </c:pt>
              </c:strCache>
            </c:strRef>
          </c:cat>
          <c:val>
            <c:numRef>
              <c:f>'High Disc vs LowDisc '!$B$4:$B$7</c:f>
              <c:numCache>
                <c:formatCode>0.00</c:formatCode>
                <c:ptCount val="3"/>
                <c:pt idx="0">
                  <c:v>4.1709999999999994</c:v>
                </c:pt>
                <c:pt idx="1">
                  <c:v>3.8655789473684217</c:v>
                </c:pt>
                <c:pt idx="2">
                  <c:v>3.7488305084745779</c:v>
                </c:pt>
              </c:numCache>
            </c:numRef>
          </c:val>
          <c:extLst>
            <c:ext xmlns:c16="http://schemas.microsoft.com/office/drawing/2014/chart" uri="{C3380CC4-5D6E-409C-BE32-E72D297353CC}">
              <c16:uniqueId val="{00000000-1B80-4927-A02A-D44836279E1A}"/>
            </c:ext>
          </c:extLst>
        </c:ser>
        <c:ser>
          <c:idx val="1"/>
          <c:order val="1"/>
          <c:tx>
            <c:strRef>
              <c:f>'High Disc vs LowDisc '!$C$3</c:f>
              <c:strCache>
                <c:ptCount val="1"/>
                <c:pt idx="0">
                  <c:v>Average of Review Flag</c:v>
                </c:pt>
              </c:strCache>
            </c:strRef>
          </c:tx>
          <c:spPr>
            <a:solidFill>
              <a:schemeClr val="accent2"/>
            </a:solidFill>
            <a:ln>
              <a:noFill/>
            </a:ln>
            <a:effectLst/>
          </c:spPr>
          <c:invertIfNegative val="0"/>
          <c:cat>
            <c:strRef>
              <c:f>'High Disc vs LowDisc '!$A$4:$A$7</c:f>
              <c:strCache>
                <c:ptCount val="3"/>
                <c:pt idx="0">
                  <c:v>Medium Discount</c:v>
                </c:pt>
                <c:pt idx="1">
                  <c:v>Low Discount</c:v>
                </c:pt>
                <c:pt idx="2">
                  <c:v>High Discount</c:v>
                </c:pt>
              </c:strCache>
            </c:strRef>
          </c:cat>
          <c:val>
            <c:numRef>
              <c:f>'High Disc vs LowDisc '!$C$4:$C$7</c:f>
              <c:numCache>
                <c:formatCode>0.00</c:formatCode>
                <c:ptCount val="3"/>
                <c:pt idx="0">
                  <c:v>10.935483870967742</c:v>
                </c:pt>
                <c:pt idx="1">
                  <c:v>2.6315789473684212</c:v>
                </c:pt>
                <c:pt idx="2">
                  <c:v>5.6610169491525424</c:v>
                </c:pt>
              </c:numCache>
            </c:numRef>
          </c:val>
          <c:extLst>
            <c:ext xmlns:c16="http://schemas.microsoft.com/office/drawing/2014/chart" uri="{C3380CC4-5D6E-409C-BE32-E72D297353CC}">
              <c16:uniqueId val="{00000001-1B80-4927-A02A-D44836279E1A}"/>
            </c:ext>
          </c:extLst>
        </c:ser>
        <c:ser>
          <c:idx val="2"/>
          <c:order val="2"/>
          <c:tx>
            <c:strRef>
              <c:f>'High Disc vs LowDisc '!$D$3</c:f>
              <c:strCache>
                <c:ptCount val="1"/>
                <c:pt idx="0">
                  <c:v>Count of Review Flag</c:v>
                </c:pt>
              </c:strCache>
            </c:strRef>
          </c:tx>
          <c:spPr>
            <a:solidFill>
              <a:schemeClr val="accent3"/>
            </a:solidFill>
            <a:ln>
              <a:noFill/>
            </a:ln>
            <a:effectLst/>
          </c:spPr>
          <c:invertIfNegative val="0"/>
          <c:cat>
            <c:strRef>
              <c:f>'High Disc vs LowDisc '!$A$4:$A$7</c:f>
              <c:strCache>
                <c:ptCount val="3"/>
                <c:pt idx="0">
                  <c:v>Medium Discount</c:v>
                </c:pt>
                <c:pt idx="1">
                  <c:v>Low Discount</c:v>
                </c:pt>
                <c:pt idx="2">
                  <c:v>High Discount</c:v>
                </c:pt>
              </c:strCache>
            </c:strRef>
          </c:cat>
          <c:val>
            <c:numRef>
              <c:f>'High Disc vs LowDisc '!$D$4:$D$7</c:f>
              <c:numCache>
                <c:formatCode>General</c:formatCode>
                <c:ptCount val="3"/>
                <c:pt idx="0">
                  <c:v>31</c:v>
                </c:pt>
                <c:pt idx="1">
                  <c:v>19</c:v>
                </c:pt>
                <c:pt idx="2">
                  <c:v>59</c:v>
                </c:pt>
              </c:numCache>
            </c:numRef>
          </c:val>
          <c:extLst>
            <c:ext xmlns:c16="http://schemas.microsoft.com/office/drawing/2014/chart" uri="{C3380CC4-5D6E-409C-BE32-E72D297353CC}">
              <c16:uniqueId val="{00000002-1B80-4927-A02A-D44836279E1A}"/>
            </c:ext>
          </c:extLst>
        </c:ser>
        <c:dLbls>
          <c:showLegendKey val="0"/>
          <c:showVal val="0"/>
          <c:showCatName val="0"/>
          <c:showSerName val="0"/>
          <c:showPercent val="0"/>
          <c:showBubbleSize val="0"/>
        </c:dLbls>
        <c:gapWidth val="219"/>
        <c:overlap val="-27"/>
        <c:axId val="49541423"/>
        <c:axId val="49549103"/>
      </c:barChart>
      <c:catAx>
        <c:axId val="4954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9549103"/>
        <c:crosses val="autoZero"/>
        <c:auto val="1"/>
        <c:lblAlgn val="ctr"/>
        <c:lblOffset val="100"/>
        <c:noMultiLvlLbl val="0"/>
      </c:catAx>
      <c:valAx>
        <c:axId val="495491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954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i="0"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381000</xdr:colOff>
      <xdr:row>9</xdr:row>
      <xdr:rowOff>100012</xdr:rowOff>
    </xdr:from>
    <xdr:to>
      <xdr:col>8</xdr:col>
      <xdr:colOff>1514475</xdr:colOff>
      <xdr:row>23</xdr:row>
      <xdr:rowOff>176212</xdr:rowOff>
    </xdr:to>
    <xdr:graphicFrame macro="">
      <xdr:nvGraphicFramePr>
        <xdr:cNvPr id="3" name="Chart 2">
          <a:extLst>
            <a:ext uri="{FF2B5EF4-FFF2-40B4-BE49-F238E27FC236}">
              <a16:creationId xmlns:a16="http://schemas.microsoft.com/office/drawing/2014/main" id="{30993DDD-BB1F-76B2-A796-629CCD2AD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xdr:colOff>
      <xdr:row>2</xdr:row>
      <xdr:rowOff>138112</xdr:rowOff>
    </xdr:from>
    <xdr:to>
      <xdr:col>10</xdr:col>
      <xdr:colOff>323850</xdr:colOff>
      <xdr:row>17</xdr:row>
      <xdr:rowOff>23812</xdr:rowOff>
    </xdr:to>
    <xdr:graphicFrame macro="">
      <xdr:nvGraphicFramePr>
        <xdr:cNvPr id="2" name="Chart 1">
          <a:extLst>
            <a:ext uri="{FF2B5EF4-FFF2-40B4-BE49-F238E27FC236}">
              <a16:creationId xmlns:a16="http://schemas.microsoft.com/office/drawing/2014/main" id="{DCC2F0A1-46EC-B06E-7E3E-248166BD9F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561975</xdr:colOff>
      <xdr:row>3</xdr:row>
      <xdr:rowOff>42862</xdr:rowOff>
    </xdr:from>
    <xdr:to>
      <xdr:col>10</xdr:col>
      <xdr:colOff>257175</xdr:colOff>
      <xdr:row>17</xdr:row>
      <xdr:rowOff>119062</xdr:rowOff>
    </xdr:to>
    <xdr:graphicFrame macro="">
      <xdr:nvGraphicFramePr>
        <xdr:cNvPr id="3" name="Chart 2">
          <a:extLst>
            <a:ext uri="{FF2B5EF4-FFF2-40B4-BE49-F238E27FC236}">
              <a16:creationId xmlns:a16="http://schemas.microsoft.com/office/drawing/2014/main" id="{B7B6492B-9B8A-9300-3EC3-65AC75E74D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8</xdr:row>
      <xdr:rowOff>166686</xdr:rowOff>
    </xdr:from>
    <xdr:to>
      <xdr:col>4</xdr:col>
      <xdr:colOff>228600</xdr:colOff>
      <xdr:row>24</xdr:row>
      <xdr:rowOff>152399</xdr:rowOff>
    </xdr:to>
    <xdr:graphicFrame macro="">
      <xdr:nvGraphicFramePr>
        <xdr:cNvPr id="2" name="Chart 1">
          <a:extLst>
            <a:ext uri="{FF2B5EF4-FFF2-40B4-BE49-F238E27FC236}">
              <a16:creationId xmlns:a16="http://schemas.microsoft.com/office/drawing/2014/main" id="{E7FB1825-F3F7-2D31-DDF9-EB4385089E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0</xdr:row>
      <xdr:rowOff>38099</xdr:rowOff>
    </xdr:from>
    <xdr:to>
      <xdr:col>17</xdr:col>
      <xdr:colOff>428625</xdr:colOff>
      <xdr:row>3</xdr:row>
      <xdr:rowOff>161924</xdr:rowOff>
    </xdr:to>
    <xdr:sp macro="" textlink="">
      <xdr:nvSpPr>
        <xdr:cNvPr id="2" name="Rectangle: Diagonal Corners Rounded 1">
          <a:extLst>
            <a:ext uri="{FF2B5EF4-FFF2-40B4-BE49-F238E27FC236}">
              <a16:creationId xmlns:a16="http://schemas.microsoft.com/office/drawing/2014/main" id="{61CF4635-4751-D2E3-FA6B-48454AF7A8B6}"/>
            </a:ext>
          </a:extLst>
        </xdr:cNvPr>
        <xdr:cNvSpPr/>
      </xdr:nvSpPr>
      <xdr:spPr>
        <a:xfrm>
          <a:off x="1390650" y="38099"/>
          <a:ext cx="9782175" cy="695325"/>
        </a:xfrm>
        <a:prstGeom prst="round2DiagRect">
          <a:avLst/>
        </a:prstGeom>
        <a:solidFill>
          <a:srgbClr val="92D050"/>
        </a:solidFill>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lang="en-US" sz="2400" b="1">
              <a:solidFill>
                <a:srgbClr val="FF0000"/>
              </a:solidFill>
            </a:rPr>
            <a:t>Jumia Product Performance Insights Dashboard</a:t>
          </a:r>
        </a:p>
      </xdr:txBody>
    </xdr:sp>
    <xdr:clientData/>
  </xdr:twoCellAnchor>
  <xdr:twoCellAnchor>
    <xdr:from>
      <xdr:col>4</xdr:col>
      <xdr:colOff>19050</xdr:colOff>
      <xdr:row>5</xdr:row>
      <xdr:rowOff>9526</xdr:rowOff>
    </xdr:from>
    <xdr:to>
      <xdr:col>6</xdr:col>
      <xdr:colOff>371475</xdr:colOff>
      <xdr:row>7</xdr:row>
      <xdr:rowOff>180976</xdr:rowOff>
    </xdr:to>
    <xdr:sp macro="" textlink="">
      <xdr:nvSpPr>
        <xdr:cNvPr id="3" name="Rectangle: Diagonal Corners Rounded 2">
          <a:extLst>
            <a:ext uri="{FF2B5EF4-FFF2-40B4-BE49-F238E27FC236}">
              <a16:creationId xmlns:a16="http://schemas.microsoft.com/office/drawing/2014/main" id="{A3880C1E-3680-9AF5-5010-733D87227A61}"/>
            </a:ext>
          </a:extLst>
        </xdr:cNvPr>
        <xdr:cNvSpPr/>
      </xdr:nvSpPr>
      <xdr:spPr>
        <a:xfrm>
          <a:off x="1409700" y="962026"/>
          <a:ext cx="1571625" cy="552450"/>
        </a:xfrm>
        <a:prstGeom prst="round2Diag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lumMod val="95000"/>
                  <a:lumOff val="5000"/>
                </a:schemeClr>
              </a:solidFill>
            </a:rPr>
            <a:t>Total No. of Products</a:t>
          </a:r>
        </a:p>
        <a:p>
          <a:pPr algn="l"/>
          <a:r>
            <a:rPr lang="en-US" sz="1100" b="1">
              <a:solidFill>
                <a:schemeClr val="tx1">
                  <a:lumMod val="95000"/>
                  <a:lumOff val="5000"/>
                </a:schemeClr>
              </a:solidFill>
            </a:rPr>
            <a:t>109</a:t>
          </a:r>
        </a:p>
        <a:p>
          <a:pPr algn="l"/>
          <a:endParaRPr lang="en-US" sz="1100"/>
        </a:p>
      </xdr:txBody>
    </xdr:sp>
    <xdr:clientData/>
  </xdr:twoCellAnchor>
  <xdr:twoCellAnchor>
    <xdr:from>
      <xdr:col>15</xdr:col>
      <xdr:colOff>371474</xdr:colOff>
      <xdr:row>5</xdr:row>
      <xdr:rowOff>9526</xdr:rowOff>
    </xdr:from>
    <xdr:to>
      <xdr:col>17</xdr:col>
      <xdr:colOff>314325</xdr:colOff>
      <xdr:row>7</xdr:row>
      <xdr:rowOff>161926</xdr:rowOff>
    </xdr:to>
    <xdr:sp macro="" textlink="">
      <xdr:nvSpPr>
        <xdr:cNvPr id="4" name="Rectangle: Diagonal Corners Rounded 3">
          <a:extLst>
            <a:ext uri="{FF2B5EF4-FFF2-40B4-BE49-F238E27FC236}">
              <a16:creationId xmlns:a16="http://schemas.microsoft.com/office/drawing/2014/main" id="{E57C09AC-A15F-9B03-BE6E-2CEADB9AE9D1}"/>
            </a:ext>
          </a:extLst>
        </xdr:cNvPr>
        <xdr:cNvSpPr/>
      </xdr:nvSpPr>
      <xdr:spPr>
        <a:xfrm>
          <a:off x="9896474" y="962026"/>
          <a:ext cx="1162051" cy="533400"/>
        </a:xfrm>
        <a:prstGeom prst="round2Diag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lumMod val="95000"/>
                  <a:lumOff val="5000"/>
                </a:schemeClr>
              </a:solidFill>
            </a:rPr>
            <a:t>Average</a:t>
          </a:r>
          <a:r>
            <a:rPr lang="en-US" sz="1100" b="1" baseline="0">
              <a:solidFill>
                <a:schemeClr val="tx1">
                  <a:lumMod val="95000"/>
                  <a:lumOff val="5000"/>
                </a:schemeClr>
              </a:solidFill>
            </a:rPr>
            <a:t> Rating</a:t>
          </a:r>
        </a:p>
        <a:p>
          <a:pPr algn="l"/>
          <a:r>
            <a:rPr lang="en-US" sz="1100" b="1" baseline="0">
              <a:solidFill>
                <a:schemeClr val="tx1">
                  <a:lumMod val="95000"/>
                  <a:lumOff val="5000"/>
                </a:schemeClr>
              </a:solidFill>
            </a:rPr>
            <a:t>3.889</a:t>
          </a:r>
          <a:endParaRPr lang="en-US" sz="1100" b="1">
            <a:solidFill>
              <a:schemeClr val="tx1">
                <a:lumMod val="95000"/>
                <a:lumOff val="5000"/>
              </a:schemeClr>
            </a:solidFill>
          </a:endParaRPr>
        </a:p>
      </xdr:txBody>
    </xdr:sp>
    <xdr:clientData/>
  </xdr:twoCellAnchor>
  <xdr:twoCellAnchor>
    <xdr:from>
      <xdr:col>11</xdr:col>
      <xdr:colOff>266699</xdr:colOff>
      <xdr:row>5</xdr:row>
      <xdr:rowOff>19049</xdr:rowOff>
    </xdr:from>
    <xdr:to>
      <xdr:col>13</xdr:col>
      <xdr:colOff>247650</xdr:colOff>
      <xdr:row>7</xdr:row>
      <xdr:rowOff>171450</xdr:rowOff>
    </xdr:to>
    <xdr:sp macro="" textlink="">
      <xdr:nvSpPr>
        <xdr:cNvPr id="5" name="Rectangle: Diagonal Corners Rounded 4">
          <a:extLst>
            <a:ext uri="{FF2B5EF4-FFF2-40B4-BE49-F238E27FC236}">
              <a16:creationId xmlns:a16="http://schemas.microsoft.com/office/drawing/2014/main" id="{502B5CCF-5BF2-9BA6-AEAB-8C542F39F907}"/>
            </a:ext>
          </a:extLst>
        </xdr:cNvPr>
        <xdr:cNvSpPr/>
      </xdr:nvSpPr>
      <xdr:spPr>
        <a:xfrm>
          <a:off x="7353299" y="971549"/>
          <a:ext cx="1200151" cy="533401"/>
        </a:xfrm>
        <a:prstGeom prst="round2Diag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lumMod val="95000"/>
                  <a:lumOff val="5000"/>
                </a:schemeClr>
              </a:solidFill>
            </a:rPr>
            <a:t>Average</a:t>
          </a:r>
          <a:r>
            <a:rPr lang="en-US" sz="1100" b="1" baseline="0">
              <a:solidFill>
                <a:schemeClr val="tx1">
                  <a:lumMod val="95000"/>
                  <a:lumOff val="5000"/>
                </a:schemeClr>
              </a:solidFill>
            </a:rPr>
            <a:t> Disc %</a:t>
          </a:r>
        </a:p>
        <a:p>
          <a:pPr algn="l"/>
          <a:r>
            <a:rPr lang="en-US" sz="1100" b="1" baseline="0">
              <a:solidFill>
                <a:schemeClr val="tx1">
                  <a:lumMod val="95000"/>
                  <a:lumOff val="5000"/>
                </a:schemeClr>
              </a:solidFill>
            </a:rPr>
            <a:t>36%</a:t>
          </a:r>
          <a:endParaRPr lang="en-US" sz="1100" b="1">
            <a:solidFill>
              <a:schemeClr val="tx1">
                <a:lumMod val="95000"/>
                <a:lumOff val="5000"/>
              </a:schemeClr>
            </a:solidFill>
          </a:endParaRPr>
        </a:p>
      </xdr:txBody>
    </xdr:sp>
    <xdr:clientData/>
  </xdr:twoCellAnchor>
  <xdr:twoCellAnchor>
    <xdr:from>
      <xdr:col>7</xdr:col>
      <xdr:colOff>1133474</xdr:colOff>
      <xdr:row>5</xdr:row>
      <xdr:rowOff>9525</xdr:rowOff>
    </xdr:from>
    <xdr:to>
      <xdr:col>9</xdr:col>
      <xdr:colOff>76199</xdr:colOff>
      <xdr:row>7</xdr:row>
      <xdr:rowOff>152400</xdr:rowOff>
    </xdr:to>
    <xdr:sp macro="" textlink="">
      <xdr:nvSpPr>
        <xdr:cNvPr id="6" name="Rectangle: Diagonal Corners Rounded 5">
          <a:extLst>
            <a:ext uri="{FF2B5EF4-FFF2-40B4-BE49-F238E27FC236}">
              <a16:creationId xmlns:a16="http://schemas.microsoft.com/office/drawing/2014/main" id="{EA8C83C4-A6CB-6A7B-CA01-4A1EF83A72C8}"/>
            </a:ext>
          </a:extLst>
        </xdr:cNvPr>
        <xdr:cNvSpPr/>
      </xdr:nvSpPr>
      <xdr:spPr>
        <a:xfrm>
          <a:off x="4352924" y="962025"/>
          <a:ext cx="1590675" cy="523875"/>
        </a:xfrm>
        <a:prstGeom prst="round2Diag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lumMod val="95000"/>
                  <a:lumOff val="5000"/>
                </a:schemeClr>
              </a:solidFill>
            </a:rPr>
            <a:t>Total No. of Reviews</a:t>
          </a:r>
        </a:p>
        <a:p>
          <a:pPr algn="l"/>
          <a:r>
            <a:rPr lang="en-US" sz="1100" b="1">
              <a:solidFill>
                <a:schemeClr val="tx1">
                  <a:lumMod val="95000"/>
                  <a:lumOff val="5000"/>
                </a:schemeClr>
              </a:solidFill>
            </a:rPr>
            <a:t>723</a:t>
          </a:r>
        </a:p>
        <a:p>
          <a:pPr algn="l"/>
          <a:endParaRPr lang="en-US" sz="1100"/>
        </a:p>
      </xdr:txBody>
    </xdr:sp>
    <xdr:clientData/>
  </xdr:twoCellAnchor>
  <xdr:twoCellAnchor>
    <xdr:from>
      <xdr:col>4</xdr:col>
      <xdr:colOff>9525</xdr:colOff>
      <xdr:row>8</xdr:row>
      <xdr:rowOff>76200</xdr:rowOff>
    </xdr:from>
    <xdr:to>
      <xdr:col>8</xdr:col>
      <xdr:colOff>447675</xdr:colOff>
      <xdr:row>22</xdr:row>
      <xdr:rowOff>152400</xdr:rowOff>
    </xdr:to>
    <xdr:graphicFrame macro="">
      <xdr:nvGraphicFramePr>
        <xdr:cNvPr id="8" name="Chart 7">
          <a:extLst>
            <a:ext uri="{FF2B5EF4-FFF2-40B4-BE49-F238E27FC236}">
              <a16:creationId xmlns:a16="http://schemas.microsoft.com/office/drawing/2014/main" id="{88463282-0D30-45FF-B659-ED72E2457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76200</xdr:colOff>
      <xdr:row>8</xdr:row>
      <xdr:rowOff>85725</xdr:rowOff>
    </xdr:from>
    <xdr:to>
      <xdr:col>17</xdr:col>
      <xdr:colOff>428625</xdr:colOff>
      <xdr:row>22</xdr:row>
      <xdr:rowOff>161925</xdr:rowOff>
    </xdr:to>
    <xdr:graphicFrame macro="">
      <xdr:nvGraphicFramePr>
        <xdr:cNvPr id="9" name="Chart 8">
          <a:extLst>
            <a:ext uri="{FF2B5EF4-FFF2-40B4-BE49-F238E27FC236}">
              <a16:creationId xmlns:a16="http://schemas.microsoft.com/office/drawing/2014/main" id="{B58E3126-BFE0-41ED-8CC2-B5B56C76F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9525</xdr:colOff>
      <xdr:row>24</xdr:row>
      <xdr:rowOff>38099</xdr:rowOff>
    </xdr:from>
    <xdr:to>
      <xdr:col>8</xdr:col>
      <xdr:colOff>438150</xdr:colOff>
      <xdr:row>40</xdr:row>
      <xdr:rowOff>28574</xdr:rowOff>
    </xdr:to>
    <xdr:graphicFrame macro="">
      <xdr:nvGraphicFramePr>
        <xdr:cNvPr id="10" name="Chart 9">
          <a:extLst>
            <a:ext uri="{FF2B5EF4-FFF2-40B4-BE49-F238E27FC236}">
              <a16:creationId xmlns:a16="http://schemas.microsoft.com/office/drawing/2014/main" id="{22372227-1D0F-48F2-97BA-A2C9C890E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66675</xdr:colOff>
      <xdr:row>24</xdr:row>
      <xdr:rowOff>38100</xdr:rowOff>
    </xdr:from>
    <xdr:to>
      <xdr:col>17</xdr:col>
      <xdr:colOff>438150</xdr:colOff>
      <xdr:row>40</xdr:row>
      <xdr:rowOff>23813</xdr:rowOff>
    </xdr:to>
    <xdr:graphicFrame macro="">
      <xdr:nvGraphicFramePr>
        <xdr:cNvPr id="11" name="Chart 10">
          <a:extLst>
            <a:ext uri="{FF2B5EF4-FFF2-40B4-BE49-F238E27FC236}">
              <a16:creationId xmlns:a16="http://schemas.microsoft.com/office/drawing/2014/main" id="{F9449009-875D-4CDB-A921-1C18787F3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11</xdr:row>
      <xdr:rowOff>114301</xdr:rowOff>
    </xdr:from>
    <xdr:to>
      <xdr:col>3</xdr:col>
      <xdr:colOff>0</xdr:colOff>
      <xdr:row>17</xdr:row>
      <xdr:rowOff>152401</xdr:rowOff>
    </xdr:to>
    <mc:AlternateContent xmlns:mc="http://schemas.openxmlformats.org/markup-compatibility/2006" xmlns:a14="http://schemas.microsoft.com/office/drawing/2010/main">
      <mc:Choice Requires="a14">
        <xdr:graphicFrame macro="">
          <xdr:nvGraphicFramePr>
            <xdr:cNvPr id="12" name="Rating Category 1">
              <a:extLst>
                <a:ext uri="{FF2B5EF4-FFF2-40B4-BE49-F238E27FC236}">
                  <a16:creationId xmlns:a16="http://schemas.microsoft.com/office/drawing/2014/main" id="{0C1BF839-E50B-42F2-95D8-C6579A8B3C25}"/>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0" y="2209801"/>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133350</xdr:rowOff>
    </xdr:from>
    <xdr:to>
      <xdr:col>3</xdr:col>
      <xdr:colOff>0</xdr:colOff>
      <xdr:row>28</xdr:row>
      <xdr:rowOff>161925</xdr:rowOff>
    </xdr:to>
    <mc:AlternateContent xmlns:mc="http://schemas.openxmlformats.org/markup-compatibility/2006" xmlns:a14="http://schemas.microsoft.com/office/drawing/2010/main">
      <mc:Choice Requires="a14">
        <xdr:graphicFrame macro="">
          <xdr:nvGraphicFramePr>
            <xdr:cNvPr id="13" name="Discount Category -IF 1">
              <a:extLst>
                <a:ext uri="{FF2B5EF4-FFF2-40B4-BE49-F238E27FC236}">
                  <a16:creationId xmlns:a16="http://schemas.microsoft.com/office/drawing/2014/main" id="{98802883-CB36-4F9D-BA6B-63CB2CC4E556}"/>
                </a:ext>
              </a:extLst>
            </xdr:cNvPr>
            <xdr:cNvGraphicFramePr/>
          </xdr:nvGraphicFramePr>
          <xdr:xfrm>
            <a:off x="0" y="0"/>
            <a:ext cx="0" cy="0"/>
          </xdr:xfrm>
          <a:graphic>
            <a:graphicData uri="http://schemas.microsoft.com/office/drawing/2010/slicer">
              <sle:slicer xmlns:sle="http://schemas.microsoft.com/office/drawing/2010/slicer" name="Discount Category -IF 1"/>
            </a:graphicData>
          </a:graphic>
        </xdr:graphicFrame>
      </mc:Choice>
      <mc:Fallback xmlns="">
        <xdr:sp macro="" textlink="">
          <xdr:nvSpPr>
            <xdr:cNvPr id="0" name=""/>
            <xdr:cNvSpPr>
              <a:spLocks noTextEdit="1"/>
            </xdr:cNvSpPr>
          </xdr:nvSpPr>
          <xdr:spPr>
            <a:xfrm>
              <a:off x="0" y="4324350"/>
              <a:ext cx="1828800"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RLES NDUNGU" refreshedDate="46051.382514583333" createdVersion="8" refreshedVersion="8" minRefreshableVersion="3" recordCount="109" xr:uid="{19021B10-7BCF-425C-A729-A626176A6C9F}">
  <cacheSource type="worksheet">
    <worksheetSource name="Table1"/>
  </cacheSource>
  <cacheFields count="11">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64">
      <sharedItems containsSemiMixedTypes="0" containsString="0" containsNumber="1" containsInteger="1" minValue="38" maxValue="3750"/>
    </cacheField>
    <cacheField name="old price" numFmtId="164">
      <sharedItems containsSemiMixedTypes="0" containsString="0" containsNumber="1" containsInteger="1" minValue="80" maxValue="6143"/>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fieldGroup base="3">
        <rangePr startNum="0.01" endNum="0.64" groupInterval="0.1"/>
        <groupItems count="9">
          <s v="&lt;0.01"/>
          <s v="0.01-0.11"/>
          <s v="0.11-0.21"/>
          <s v="0.21-0.31"/>
          <s v="0.31-0.41"/>
          <s v="0.41-0.51"/>
          <s v="0.51-0.61"/>
          <s v="0.61-0.71"/>
          <s v="&gt;0.71"/>
        </groupItems>
      </fieldGroup>
    </cacheField>
    <cacheField name="Rating" numFmtId="0">
      <sharedItems containsSemiMixedTypes="0" containsString="0" containsNumber="1" minValue="2" maxValue="5" count="23">
        <n v="4.5"/>
        <n v="4.0999999999999996"/>
        <n v="4.5999999999999996"/>
        <n v="4.7"/>
        <n v="4.8"/>
        <n v="4"/>
        <n v="3.8"/>
        <n v="4.2"/>
        <n v="5"/>
        <n v="3.3"/>
        <n v="3.8889999999999998"/>
        <n v="4.4000000000000004"/>
        <n v="4.3"/>
        <n v="2.5"/>
        <n v="3"/>
        <n v="2.1"/>
        <n v="2.8"/>
        <n v="2.7"/>
        <n v="2.9"/>
        <n v="2.2000000000000002"/>
        <n v="2.2999999999999998"/>
        <n v="2.6"/>
        <n v="2"/>
      </sharedItems>
      <fieldGroup base="4">
        <rangePr autoStart="0" startNum="1" endNum="5"/>
        <groupItems count="6">
          <s v="&lt;1"/>
          <s v="1-2"/>
          <s v="2-3"/>
          <s v="3-4"/>
          <s v="4-5"/>
          <s v="&gt;5"/>
        </groupItems>
      </fieldGroup>
    </cacheField>
    <cacheField name="Review Flag" numFmtId="0">
      <sharedItems containsSemiMixedTypes="0" containsString="0" containsNumber="1" containsInteger="1" minValue="0" maxValue="69" count="24">
        <n v="2"/>
        <n v="14"/>
        <n v="24"/>
        <n v="7"/>
        <n v="5"/>
        <n v="15"/>
        <n v="55"/>
        <n v="12"/>
        <n v="39"/>
        <n v="6"/>
        <n v="9"/>
        <n v="3"/>
        <n v="44"/>
        <n v="13"/>
        <n v="0"/>
        <n v="49"/>
        <n v="20"/>
        <n v="32"/>
        <n v="1"/>
        <n v="36"/>
        <n v="10"/>
        <n v="69"/>
        <n v="16"/>
        <n v="17"/>
      </sharedItems>
    </cacheField>
    <cacheField name="Discount Amount" numFmtId="164">
      <sharedItems containsSemiMixedTypes="0" containsString="0" containsNumber="1" containsInteger="1" minValue="24" maxValue="2585"/>
    </cacheField>
    <cacheField name="Rating Category" numFmtId="0">
      <sharedItems count="3">
        <s v="Excellent"/>
        <s v="Average"/>
        <s v="Below"/>
      </sharedItems>
    </cacheField>
    <cacheField name="Discount Category -IF" numFmtId="0">
      <sharedItems count="3">
        <s v="Medium Discount"/>
        <s v="High Discount"/>
        <s v="Low Discount"/>
      </sharedItems>
    </cacheField>
    <cacheField name="Discount Category - IFS" numFmtId="0">
      <sharedItems/>
    </cacheField>
    <cacheField name="Price Flag" numFmtId="0">
      <sharedItems count="3">
        <s v=""/>
        <s v="Least Expensive"/>
        <s v="Most Expensive"/>
      </sharedItems>
    </cacheField>
  </cacheFields>
  <extLst>
    <ext xmlns:x14="http://schemas.microsoft.com/office/spreadsheetml/2009/9/main" uri="{725AE2AE-9491-48be-B2B4-4EB974FC3084}">
      <x14:pivotCacheDefinition pivotCacheId="2879244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x v="0"/>
    <n v="950"/>
    <n v="1525"/>
    <x v="0"/>
    <x v="0"/>
    <x v="0"/>
    <n v="575"/>
    <x v="0"/>
    <x v="0"/>
    <s v="Medium Discounts"/>
    <x v="0"/>
  </r>
  <r>
    <x v="1"/>
    <n v="527"/>
    <n v="999"/>
    <x v="1"/>
    <x v="1"/>
    <x v="1"/>
    <n v="472"/>
    <x v="1"/>
    <x v="1"/>
    <s v="High Discounts"/>
    <x v="0"/>
  </r>
  <r>
    <x v="2"/>
    <n v="2199"/>
    <n v="2923"/>
    <x v="2"/>
    <x v="2"/>
    <x v="2"/>
    <n v="724"/>
    <x v="0"/>
    <x v="0"/>
    <s v="Medium Discounts"/>
    <x v="0"/>
  </r>
  <r>
    <x v="3"/>
    <n v="1580"/>
    <n v="2499"/>
    <x v="3"/>
    <x v="3"/>
    <x v="3"/>
    <n v="919"/>
    <x v="0"/>
    <x v="0"/>
    <s v="Medium Discounts"/>
    <x v="0"/>
  </r>
  <r>
    <x v="4"/>
    <n v="1740"/>
    <n v="2356"/>
    <x v="4"/>
    <x v="4"/>
    <x v="4"/>
    <n v="616"/>
    <x v="0"/>
    <x v="0"/>
    <s v="Medium Discounts"/>
    <x v="0"/>
  </r>
  <r>
    <x v="5"/>
    <n v="2999"/>
    <n v="3290"/>
    <x v="5"/>
    <x v="5"/>
    <x v="5"/>
    <n v="291"/>
    <x v="1"/>
    <x v="2"/>
    <s v="Low Discount"/>
    <x v="0"/>
  </r>
  <r>
    <x v="6"/>
    <n v="2319"/>
    <n v="3032"/>
    <x v="6"/>
    <x v="2"/>
    <x v="6"/>
    <n v="713"/>
    <x v="0"/>
    <x v="0"/>
    <s v="Medium Discounts"/>
    <x v="0"/>
  </r>
  <r>
    <x v="7"/>
    <n v="988"/>
    <n v="1580"/>
    <x v="3"/>
    <x v="5"/>
    <x v="0"/>
    <n v="592"/>
    <x v="1"/>
    <x v="0"/>
    <s v="Medium Discounts"/>
    <x v="0"/>
  </r>
  <r>
    <x v="8"/>
    <n v="1274"/>
    <n v="2800"/>
    <x v="7"/>
    <x v="4"/>
    <x v="4"/>
    <n v="1526"/>
    <x v="0"/>
    <x v="1"/>
    <s v="High Discounts"/>
    <x v="0"/>
  </r>
  <r>
    <x v="9"/>
    <n v="1600"/>
    <n v="2929"/>
    <x v="8"/>
    <x v="6"/>
    <x v="4"/>
    <n v="1329"/>
    <x v="1"/>
    <x v="1"/>
    <s v="High Discounts"/>
    <x v="0"/>
  </r>
  <r>
    <x v="10"/>
    <n v="799"/>
    <n v="999"/>
    <x v="9"/>
    <x v="1"/>
    <x v="7"/>
    <n v="200"/>
    <x v="1"/>
    <x v="2"/>
    <s v="Low Discount"/>
    <x v="0"/>
  </r>
  <r>
    <x v="11"/>
    <n v="990"/>
    <n v="1500"/>
    <x v="10"/>
    <x v="3"/>
    <x v="8"/>
    <n v="510"/>
    <x v="0"/>
    <x v="0"/>
    <s v="Medium Discounts"/>
    <x v="0"/>
  </r>
  <r>
    <x v="12"/>
    <n v="552"/>
    <n v="1035"/>
    <x v="1"/>
    <x v="4"/>
    <x v="7"/>
    <n v="483"/>
    <x v="0"/>
    <x v="1"/>
    <s v="High Discounts"/>
    <x v="0"/>
  </r>
  <r>
    <x v="13"/>
    <n v="501"/>
    <n v="860"/>
    <x v="11"/>
    <x v="0"/>
    <x v="9"/>
    <n v="359"/>
    <x v="0"/>
    <x v="1"/>
    <s v="High Discounts"/>
    <x v="0"/>
  </r>
  <r>
    <x v="14"/>
    <n v="1680"/>
    <n v="2499"/>
    <x v="12"/>
    <x v="7"/>
    <x v="10"/>
    <n v="819"/>
    <x v="1"/>
    <x v="0"/>
    <s v="Medium Discounts"/>
    <x v="0"/>
  </r>
  <r>
    <x v="15"/>
    <n v="332"/>
    <n v="684"/>
    <x v="13"/>
    <x v="8"/>
    <x v="0"/>
    <n v="352"/>
    <x v="0"/>
    <x v="1"/>
    <s v="High Discounts"/>
    <x v="0"/>
  </r>
  <r>
    <x v="16"/>
    <n v="195"/>
    <n v="360"/>
    <x v="14"/>
    <x v="8"/>
    <x v="0"/>
    <n v="165"/>
    <x v="0"/>
    <x v="1"/>
    <s v="High Discounts"/>
    <x v="0"/>
  </r>
  <r>
    <x v="17"/>
    <n v="2025"/>
    <n v="3971"/>
    <x v="15"/>
    <x v="8"/>
    <x v="11"/>
    <n v="1946"/>
    <x v="0"/>
    <x v="1"/>
    <s v="High Discounts"/>
    <x v="0"/>
  </r>
  <r>
    <x v="18"/>
    <n v="2999"/>
    <n v="3699"/>
    <x v="16"/>
    <x v="2"/>
    <x v="4"/>
    <n v="700"/>
    <x v="0"/>
    <x v="2"/>
    <s v="Low Discount"/>
    <x v="0"/>
  </r>
  <r>
    <x v="19"/>
    <n v="998"/>
    <n v="1966"/>
    <x v="15"/>
    <x v="2"/>
    <x v="12"/>
    <n v="968"/>
    <x v="0"/>
    <x v="1"/>
    <s v="High Discounts"/>
    <x v="0"/>
  </r>
  <r>
    <x v="20"/>
    <n v="38"/>
    <n v="80"/>
    <x v="17"/>
    <x v="9"/>
    <x v="13"/>
    <n v="42"/>
    <x v="1"/>
    <x v="1"/>
    <s v="High Discounts"/>
    <x v="1"/>
  </r>
  <r>
    <x v="21"/>
    <n v="1860"/>
    <n v="3220"/>
    <x v="11"/>
    <x v="10"/>
    <x v="14"/>
    <n v="1360"/>
    <x v="1"/>
    <x v="1"/>
    <s v="High Discounts"/>
    <x v="0"/>
  </r>
  <r>
    <x v="22"/>
    <n v="880"/>
    <n v="1350"/>
    <x v="18"/>
    <x v="5"/>
    <x v="9"/>
    <n v="470"/>
    <x v="1"/>
    <x v="0"/>
    <s v="Medium Discounts"/>
    <x v="0"/>
  </r>
  <r>
    <x v="23"/>
    <n v="1650"/>
    <n v="2150"/>
    <x v="19"/>
    <x v="11"/>
    <x v="1"/>
    <n v="500"/>
    <x v="1"/>
    <x v="0"/>
    <s v="Medium Discounts"/>
    <x v="0"/>
  </r>
  <r>
    <x v="24"/>
    <n v="2048"/>
    <n v="4500"/>
    <x v="20"/>
    <x v="12"/>
    <x v="3"/>
    <n v="2452"/>
    <x v="1"/>
    <x v="1"/>
    <s v="High Discounts"/>
    <x v="0"/>
  </r>
  <r>
    <x v="25"/>
    <n v="420"/>
    <n v="647"/>
    <x v="18"/>
    <x v="2"/>
    <x v="15"/>
    <n v="227"/>
    <x v="0"/>
    <x v="0"/>
    <s v="Medium Discounts"/>
    <x v="0"/>
  </r>
  <r>
    <x v="26"/>
    <n v="2880"/>
    <n v="3520"/>
    <x v="21"/>
    <x v="6"/>
    <x v="7"/>
    <n v="640"/>
    <x v="1"/>
    <x v="2"/>
    <s v="Low Discount"/>
    <x v="0"/>
  </r>
  <r>
    <x v="27"/>
    <n v="1350"/>
    <n v="1990"/>
    <x v="22"/>
    <x v="6"/>
    <x v="13"/>
    <n v="640"/>
    <x v="1"/>
    <x v="0"/>
    <s v="Medium Discounts"/>
    <x v="0"/>
  </r>
  <r>
    <x v="28"/>
    <n v="1758"/>
    <n v="2499"/>
    <x v="23"/>
    <x v="1"/>
    <x v="16"/>
    <n v="741"/>
    <x v="1"/>
    <x v="0"/>
    <s v="Medium Discounts"/>
    <x v="0"/>
  </r>
  <r>
    <x v="29"/>
    <n v="2200"/>
    <n v="4080"/>
    <x v="14"/>
    <x v="10"/>
    <x v="14"/>
    <n v="1880"/>
    <x v="1"/>
    <x v="1"/>
    <s v="High Discounts"/>
    <x v="0"/>
  </r>
  <r>
    <x v="30"/>
    <n v="185"/>
    <n v="382"/>
    <x v="24"/>
    <x v="12"/>
    <x v="10"/>
    <n v="197"/>
    <x v="1"/>
    <x v="1"/>
    <s v="High Discounts"/>
    <x v="0"/>
  </r>
  <r>
    <x v="31"/>
    <n v="980"/>
    <n v="1490"/>
    <x v="10"/>
    <x v="3"/>
    <x v="7"/>
    <n v="510"/>
    <x v="0"/>
    <x v="0"/>
    <s v="Medium Discounts"/>
    <x v="0"/>
  </r>
  <r>
    <x v="32"/>
    <n v="1820"/>
    <n v="3490"/>
    <x v="25"/>
    <x v="12"/>
    <x v="10"/>
    <n v="1670"/>
    <x v="1"/>
    <x v="1"/>
    <s v="High Discounts"/>
    <x v="0"/>
  </r>
  <r>
    <x v="33"/>
    <n v="1940"/>
    <n v="2650"/>
    <x v="26"/>
    <x v="3"/>
    <x v="16"/>
    <n v="710"/>
    <x v="0"/>
    <x v="0"/>
    <s v="Medium Discounts"/>
    <x v="0"/>
  </r>
  <r>
    <x v="34"/>
    <n v="1980"/>
    <n v="2699"/>
    <x v="26"/>
    <x v="0"/>
    <x v="17"/>
    <n v="719"/>
    <x v="0"/>
    <x v="0"/>
    <s v="Medium Discounts"/>
    <x v="0"/>
  </r>
  <r>
    <x v="35"/>
    <n v="1620"/>
    <n v="2690"/>
    <x v="27"/>
    <x v="8"/>
    <x v="18"/>
    <n v="1070"/>
    <x v="0"/>
    <x v="0"/>
    <s v="Medium Discounts"/>
    <x v="0"/>
  </r>
  <r>
    <x v="36"/>
    <n v="171"/>
    <n v="360"/>
    <x v="17"/>
    <x v="8"/>
    <x v="0"/>
    <n v="189"/>
    <x v="0"/>
    <x v="1"/>
    <s v="High Discounts"/>
    <x v="0"/>
  </r>
  <r>
    <x v="37"/>
    <n v="389"/>
    <n v="656"/>
    <x v="28"/>
    <x v="12"/>
    <x v="19"/>
    <n v="267"/>
    <x v="1"/>
    <x v="1"/>
    <s v="High Discounts"/>
    <x v="0"/>
  </r>
  <r>
    <x v="38"/>
    <n v="1800"/>
    <n v="2700"/>
    <x v="0"/>
    <x v="0"/>
    <x v="0"/>
    <n v="900"/>
    <x v="0"/>
    <x v="0"/>
    <s v="Medium Discounts"/>
    <x v="0"/>
  </r>
  <r>
    <x v="39"/>
    <n v="2750"/>
    <n v="4471"/>
    <x v="0"/>
    <x v="10"/>
    <x v="14"/>
    <n v="1721"/>
    <x v="1"/>
    <x v="0"/>
    <s v="Medium Discounts"/>
    <x v="0"/>
  </r>
  <r>
    <x v="40"/>
    <n v="475"/>
    <n v="931"/>
    <x v="15"/>
    <x v="10"/>
    <x v="14"/>
    <n v="456"/>
    <x v="1"/>
    <x v="1"/>
    <s v="High Discounts"/>
    <x v="0"/>
  </r>
  <r>
    <x v="41"/>
    <n v="238"/>
    <n v="476"/>
    <x v="29"/>
    <x v="10"/>
    <x v="14"/>
    <n v="238"/>
    <x v="1"/>
    <x v="1"/>
    <s v="High Discounts"/>
    <x v="0"/>
  </r>
  <r>
    <x v="42"/>
    <n v="610"/>
    <n v="1060"/>
    <x v="11"/>
    <x v="10"/>
    <x v="14"/>
    <n v="450"/>
    <x v="1"/>
    <x v="1"/>
    <s v="High Discounts"/>
    <x v="0"/>
  </r>
  <r>
    <x v="43"/>
    <n v="2132"/>
    <n v="2169"/>
    <x v="30"/>
    <x v="10"/>
    <x v="14"/>
    <n v="37"/>
    <x v="1"/>
    <x v="2"/>
    <s v="Low Discount"/>
    <x v="0"/>
  </r>
  <r>
    <x v="44"/>
    <n v="999"/>
    <n v="2000"/>
    <x v="29"/>
    <x v="10"/>
    <x v="14"/>
    <n v="1001"/>
    <x v="1"/>
    <x v="1"/>
    <s v="High Discounts"/>
    <x v="0"/>
  </r>
  <r>
    <x v="45"/>
    <n v="1190"/>
    <n v="1785"/>
    <x v="12"/>
    <x v="10"/>
    <x v="14"/>
    <n v="595"/>
    <x v="1"/>
    <x v="0"/>
    <s v="Medium Discounts"/>
    <x v="0"/>
  </r>
  <r>
    <x v="46"/>
    <n v="671"/>
    <n v="1316"/>
    <x v="15"/>
    <x v="10"/>
    <x v="14"/>
    <n v="645"/>
    <x v="1"/>
    <x v="1"/>
    <s v="High Discounts"/>
    <x v="0"/>
  </r>
  <r>
    <x v="47"/>
    <n v="1200"/>
    <n v="1950"/>
    <x v="0"/>
    <x v="10"/>
    <x v="14"/>
    <n v="750"/>
    <x v="1"/>
    <x v="0"/>
    <s v="Medium Discounts"/>
    <x v="0"/>
  </r>
  <r>
    <x v="48"/>
    <n v="199"/>
    <n v="504"/>
    <x v="31"/>
    <x v="10"/>
    <x v="14"/>
    <n v="305"/>
    <x v="1"/>
    <x v="1"/>
    <s v="High Discounts"/>
    <x v="0"/>
  </r>
  <r>
    <x v="49"/>
    <n v="299"/>
    <n v="600"/>
    <x v="29"/>
    <x v="10"/>
    <x v="14"/>
    <n v="301"/>
    <x v="1"/>
    <x v="1"/>
    <s v="High Discounts"/>
    <x v="0"/>
  </r>
  <r>
    <x v="50"/>
    <n v="1660"/>
    <n v="1699"/>
    <x v="30"/>
    <x v="10"/>
    <x v="14"/>
    <n v="39"/>
    <x v="1"/>
    <x v="2"/>
    <s v="Low Discount"/>
    <x v="0"/>
  </r>
  <r>
    <x v="51"/>
    <n v="299"/>
    <n v="384"/>
    <x v="32"/>
    <x v="10"/>
    <x v="14"/>
    <n v="85"/>
    <x v="1"/>
    <x v="0"/>
    <s v="Medium Discounts"/>
    <x v="0"/>
  </r>
  <r>
    <x v="52"/>
    <n v="1459"/>
    <n v="1499"/>
    <x v="33"/>
    <x v="10"/>
    <x v="14"/>
    <n v="40"/>
    <x v="1"/>
    <x v="2"/>
    <s v="Low Discount"/>
    <x v="0"/>
  </r>
  <r>
    <x v="53"/>
    <n v="799"/>
    <n v="1343"/>
    <x v="28"/>
    <x v="10"/>
    <x v="14"/>
    <n v="544"/>
    <x v="1"/>
    <x v="1"/>
    <s v="High Discounts"/>
    <x v="0"/>
  </r>
  <r>
    <x v="54"/>
    <n v="499"/>
    <n v="900"/>
    <x v="8"/>
    <x v="10"/>
    <x v="14"/>
    <n v="401"/>
    <x v="1"/>
    <x v="1"/>
    <s v="High Discounts"/>
    <x v="0"/>
  </r>
  <r>
    <x v="55"/>
    <n v="699"/>
    <n v="1343"/>
    <x v="25"/>
    <x v="10"/>
    <x v="14"/>
    <n v="644"/>
    <x v="1"/>
    <x v="1"/>
    <s v="High Discounts"/>
    <x v="0"/>
  </r>
  <r>
    <x v="56"/>
    <n v="799"/>
    <n v="1567"/>
    <x v="15"/>
    <x v="10"/>
    <x v="14"/>
    <n v="768"/>
    <x v="1"/>
    <x v="1"/>
    <s v="High Discounts"/>
    <x v="0"/>
  </r>
  <r>
    <x v="57"/>
    <n v="2799"/>
    <n v="3810"/>
    <x v="26"/>
    <x v="10"/>
    <x v="14"/>
    <n v="1011"/>
    <x v="1"/>
    <x v="0"/>
    <s v="Medium Discounts"/>
    <x v="0"/>
  </r>
  <r>
    <x v="58"/>
    <n v="2170"/>
    <n v="2500"/>
    <x v="34"/>
    <x v="13"/>
    <x v="9"/>
    <n v="330"/>
    <x v="2"/>
    <x v="2"/>
    <s v="Low Discount"/>
    <x v="0"/>
  </r>
  <r>
    <x v="59"/>
    <n v="458"/>
    <n v="986"/>
    <x v="20"/>
    <x v="14"/>
    <x v="20"/>
    <n v="528"/>
    <x v="2"/>
    <x v="1"/>
    <s v="High Discounts"/>
    <x v="0"/>
  </r>
  <r>
    <x v="60"/>
    <n v="2115"/>
    <n v="4700"/>
    <x v="7"/>
    <x v="15"/>
    <x v="13"/>
    <n v="2585"/>
    <x v="2"/>
    <x v="1"/>
    <s v="High Discounts"/>
    <x v="0"/>
  </r>
  <r>
    <x v="61"/>
    <n v="445"/>
    <n v="873"/>
    <x v="15"/>
    <x v="16"/>
    <x v="21"/>
    <n v="428"/>
    <x v="2"/>
    <x v="1"/>
    <s v="High Discounts"/>
    <x v="0"/>
  </r>
  <r>
    <x v="62"/>
    <n v="325"/>
    <n v="680"/>
    <x v="24"/>
    <x v="17"/>
    <x v="5"/>
    <n v="355"/>
    <x v="2"/>
    <x v="1"/>
    <s v="High Discounts"/>
    <x v="0"/>
  </r>
  <r>
    <x v="63"/>
    <n v="1220"/>
    <n v="1555"/>
    <x v="32"/>
    <x v="18"/>
    <x v="22"/>
    <n v="335"/>
    <x v="2"/>
    <x v="0"/>
    <s v="Medium Discounts"/>
    <x v="0"/>
  </r>
  <r>
    <x v="64"/>
    <n v="990"/>
    <n v="1814"/>
    <x v="8"/>
    <x v="19"/>
    <x v="9"/>
    <n v="824"/>
    <x v="2"/>
    <x v="1"/>
    <s v="High Discounts"/>
    <x v="0"/>
  </r>
  <r>
    <x v="65"/>
    <n v="1000"/>
    <n v="2000"/>
    <x v="29"/>
    <x v="20"/>
    <x v="3"/>
    <n v="1000"/>
    <x v="2"/>
    <x v="1"/>
    <s v="High Discounts"/>
    <x v="0"/>
  </r>
  <r>
    <x v="66"/>
    <n v="3750"/>
    <n v="6143"/>
    <x v="35"/>
    <x v="14"/>
    <x v="4"/>
    <n v="2393"/>
    <x v="2"/>
    <x v="0"/>
    <s v="Medium Discounts"/>
    <x v="2"/>
  </r>
  <r>
    <x v="67"/>
    <n v="382"/>
    <n v="700"/>
    <x v="8"/>
    <x v="21"/>
    <x v="23"/>
    <n v="318"/>
    <x v="2"/>
    <x v="1"/>
    <s v="High Discounts"/>
    <x v="0"/>
  </r>
  <r>
    <x v="68"/>
    <n v="2300"/>
    <n v="3240"/>
    <x v="36"/>
    <x v="14"/>
    <x v="4"/>
    <n v="940"/>
    <x v="2"/>
    <x v="0"/>
    <s v="Medium Discounts"/>
    <x v="0"/>
  </r>
  <r>
    <x v="69"/>
    <n v="345"/>
    <n v="602"/>
    <x v="37"/>
    <x v="20"/>
    <x v="9"/>
    <n v="257"/>
    <x v="2"/>
    <x v="1"/>
    <s v="High Discounts"/>
    <x v="0"/>
  </r>
  <r>
    <x v="70"/>
    <n v="509"/>
    <n v="899"/>
    <x v="37"/>
    <x v="14"/>
    <x v="4"/>
    <n v="390"/>
    <x v="2"/>
    <x v="1"/>
    <s v="High Discounts"/>
    <x v="0"/>
  </r>
  <r>
    <x v="71"/>
    <n v="968"/>
    <n v="1814"/>
    <x v="1"/>
    <x v="19"/>
    <x v="9"/>
    <n v="846"/>
    <x v="2"/>
    <x v="1"/>
    <s v="High Discounts"/>
    <x v="0"/>
  </r>
  <r>
    <x v="72"/>
    <n v="1570"/>
    <n v="2988"/>
    <x v="1"/>
    <x v="15"/>
    <x v="3"/>
    <n v="1418"/>
    <x v="2"/>
    <x v="1"/>
    <s v="High Discounts"/>
    <x v="0"/>
  </r>
  <r>
    <x v="73"/>
    <n v="790"/>
    <n v="1485"/>
    <x v="1"/>
    <x v="10"/>
    <x v="14"/>
    <n v="695"/>
    <x v="1"/>
    <x v="1"/>
    <s v="High Discounts"/>
    <x v="0"/>
  </r>
  <r>
    <x v="74"/>
    <n v="690"/>
    <n v="1200"/>
    <x v="37"/>
    <x v="10"/>
    <x v="14"/>
    <n v="510"/>
    <x v="1"/>
    <x v="1"/>
    <s v="High Discounts"/>
    <x v="0"/>
  </r>
  <r>
    <x v="75"/>
    <n v="1732"/>
    <n v="1799"/>
    <x v="38"/>
    <x v="10"/>
    <x v="14"/>
    <n v="67"/>
    <x v="1"/>
    <x v="2"/>
    <s v="Low Discount"/>
    <x v="0"/>
  </r>
  <r>
    <x v="76"/>
    <n v="230"/>
    <n v="450"/>
    <x v="15"/>
    <x v="10"/>
    <x v="14"/>
    <n v="220"/>
    <x v="1"/>
    <x v="1"/>
    <s v="High Discounts"/>
    <x v="0"/>
  </r>
  <r>
    <x v="77"/>
    <n v="1189"/>
    <n v="2199"/>
    <x v="14"/>
    <x v="14"/>
    <x v="18"/>
    <n v="1010"/>
    <x v="2"/>
    <x v="1"/>
    <s v="High Discounts"/>
    <x v="0"/>
  </r>
  <r>
    <x v="78"/>
    <n v="979"/>
    <n v="1920"/>
    <x v="15"/>
    <x v="8"/>
    <x v="18"/>
    <n v="941"/>
    <x v="0"/>
    <x v="1"/>
    <s v="High Discounts"/>
    <x v="0"/>
  </r>
  <r>
    <x v="79"/>
    <n v="1460"/>
    <n v="2290"/>
    <x v="39"/>
    <x v="10"/>
    <x v="14"/>
    <n v="830"/>
    <x v="1"/>
    <x v="0"/>
    <s v="Medium Discounts"/>
    <x v="0"/>
  </r>
  <r>
    <x v="80"/>
    <n v="1666"/>
    <n v="1699"/>
    <x v="30"/>
    <x v="10"/>
    <x v="14"/>
    <n v="33"/>
    <x v="1"/>
    <x v="2"/>
    <s v="Low Discount"/>
    <x v="0"/>
  </r>
  <r>
    <x v="81"/>
    <n v="330"/>
    <n v="647"/>
    <x v="15"/>
    <x v="5"/>
    <x v="18"/>
    <n v="317"/>
    <x v="1"/>
    <x v="1"/>
    <s v="High Discounts"/>
    <x v="0"/>
  </r>
  <r>
    <x v="82"/>
    <n v="1466"/>
    <n v="1699"/>
    <x v="40"/>
    <x v="10"/>
    <x v="14"/>
    <n v="233"/>
    <x v="1"/>
    <x v="2"/>
    <s v="Low Discount"/>
    <x v="0"/>
  </r>
  <r>
    <x v="83"/>
    <n v="274"/>
    <n v="537"/>
    <x v="15"/>
    <x v="10"/>
    <x v="14"/>
    <n v="263"/>
    <x v="1"/>
    <x v="1"/>
    <s v="High Discounts"/>
    <x v="0"/>
  </r>
  <r>
    <x v="84"/>
    <n v="799"/>
    <n v="900"/>
    <x v="41"/>
    <x v="10"/>
    <x v="14"/>
    <n v="101"/>
    <x v="1"/>
    <x v="2"/>
    <s v="Low Discount"/>
    <x v="0"/>
  </r>
  <r>
    <x v="85"/>
    <n v="1468"/>
    <n v="1699"/>
    <x v="40"/>
    <x v="10"/>
    <x v="14"/>
    <n v="231"/>
    <x v="1"/>
    <x v="2"/>
    <s v="Low Discount"/>
    <x v="0"/>
  </r>
  <r>
    <x v="86"/>
    <n v="630"/>
    <n v="1100"/>
    <x v="37"/>
    <x v="10"/>
    <x v="14"/>
    <n v="470"/>
    <x v="1"/>
    <x v="1"/>
    <s v="High Discounts"/>
    <x v="0"/>
  </r>
  <r>
    <x v="87"/>
    <n v="850"/>
    <n v="1700"/>
    <x v="29"/>
    <x v="10"/>
    <x v="14"/>
    <n v="850"/>
    <x v="1"/>
    <x v="1"/>
    <s v="High Discounts"/>
    <x v="0"/>
  </r>
  <r>
    <x v="88"/>
    <n v="1300"/>
    <n v="2500"/>
    <x v="25"/>
    <x v="10"/>
    <x v="14"/>
    <n v="1200"/>
    <x v="1"/>
    <x v="1"/>
    <s v="High Discounts"/>
    <x v="0"/>
  </r>
  <r>
    <x v="89"/>
    <n v="105"/>
    <n v="200"/>
    <x v="25"/>
    <x v="10"/>
    <x v="14"/>
    <n v="95"/>
    <x v="1"/>
    <x v="1"/>
    <s v="High Discounts"/>
    <x v="0"/>
  </r>
  <r>
    <x v="90"/>
    <n v="899"/>
    <n v="1699"/>
    <x v="1"/>
    <x v="10"/>
    <x v="14"/>
    <n v="800"/>
    <x v="1"/>
    <x v="1"/>
    <s v="High Discounts"/>
    <x v="0"/>
  </r>
  <r>
    <x v="91"/>
    <n v="1200"/>
    <n v="2400"/>
    <x v="29"/>
    <x v="10"/>
    <x v="14"/>
    <n v="1200"/>
    <x v="1"/>
    <x v="1"/>
    <s v="High Discounts"/>
    <x v="0"/>
  </r>
  <r>
    <x v="92"/>
    <n v="1526"/>
    <n v="1660"/>
    <x v="42"/>
    <x v="10"/>
    <x v="14"/>
    <n v="134"/>
    <x v="1"/>
    <x v="2"/>
    <s v="Low Discount"/>
    <x v="0"/>
  </r>
  <r>
    <x v="93"/>
    <n v="1462"/>
    <n v="1499"/>
    <x v="30"/>
    <x v="10"/>
    <x v="14"/>
    <n v="37"/>
    <x v="1"/>
    <x v="2"/>
    <s v="Low Discount"/>
    <x v="0"/>
  </r>
  <r>
    <x v="94"/>
    <n v="248"/>
    <n v="486"/>
    <x v="15"/>
    <x v="10"/>
    <x v="14"/>
    <n v="238"/>
    <x v="1"/>
    <x v="1"/>
    <s v="High Discounts"/>
    <x v="0"/>
  </r>
  <r>
    <x v="95"/>
    <n v="3546"/>
    <n v="3699"/>
    <x v="38"/>
    <x v="10"/>
    <x v="14"/>
    <n v="153"/>
    <x v="1"/>
    <x v="2"/>
    <s v="Low Discount"/>
    <x v="0"/>
  </r>
  <r>
    <x v="96"/>
    <n v="525"/>
    <n v="1029"/>
    <x v="15"/>
    <x v="10"/>
    <x v="14"/>
    <n v="504"/>
    <x v="1"/>
    <x v="1"/>
    <s v="High Discounts"/>
    <x v="0"/>
  </r>
  <r>
    <x v="97"/>
    <n v="1080"/>
    <n v="1874"/>
    <x v="11"/>
    <x v="10"/>
    <x v="14"/>
    <n v="794"/>
    <x v="1"/>
    <x v="1"/>
    <s v="High Discounts"/>
    <x v="0"/>
  </r>
  <r>
    <x v="98"/>
    <n v="3640"/>
    <n v="4588"/>
    <x v="43"/>
    <x v="8"/>
    <x v="18"/>
    <n v="948"/>
    <x v="0"/>
    <x v="0"/>
    <s v="Medium Discounts"/>
    <x v="0"/>
  </r>
  <r>
    <x v="99"/>
    <n v="1420"/>
    <n v="2420"/>
    <x v="28"/>
    <x v="10"/>
    <x v="14"/>
    <n v="1000"/>
    <x v="1"/>
    <x v="1"/>
    <s v="High Discounts"/>
    <x v="0"/>
  </r>
  <r>
    <x v="100"/>
    <n v="1875"/>
    <n v="1899"/>
    <x v="44"/>
    <x v="10"/>
    <x v="14"/>
    <n v="24"/>
    <x v="1"/>
    <x v="2"/>
    <s v="Low Discount"/>
    <x v="0"/>
  </r>
  <r>
    <x v="101"/>
    <n v="198"/>
    <n v="260"/>
    <x v="6"/>
    <x v="10"/>
    <x v="14"/>
    <n v="62"/>
    <x v="1"/>
    <x v="0"/>
    <s v="Medium Discounts"/>
    <x v="0"/>
  </r>
  <r>
    <x v="102"/>
    <n v="1150"/>
    <n v="1737"/>
    <x v="10"/>
    <x v="10"/>
    <x v="14"/>
    <n v="587"/>
    <x v="1"/>
    <x v="0"/>
    <s v="Medium Discounts"/>
    <x v="0"/>
  </r>
  <r>
    <x v="103"/>
    <n v="1190"/>
    <n v="1810"/>
    <x v="10"/>
    <x v="10"/>
    <x v="14"/>
    <n v="620"/>
    <x v="1"/>
    <x v="0"/>
    <s v="Medium Discounts"/>
    <x v="0"/>
  </r>
  <r>
    <x v="104"/>
    <n v="1658"/>
    <n v="1699"/>
    <x v="30"/>
    <x v="10"/>
    <x v="14"/>
    <n v="41"/>
    <x v="1"/>
    <x v="2"/>
    <s v="Low Discount"/>
    <x v="0"/>
  </r>
  <r>
    <x v="105"/>
    <n v="1768"/>
    <n v="1799"/>
    <x v="30"/>
    <x v="10"/>
    <x v="14"/>
    <n v="31"/>
    <x v="1"/>
    <x v="2"/>
    <s v="Low Discount"/>
    <x v="0"/>
  </r>
  <r>
    <x v="106"/>
    <n v="199"/>
    <n v="553"/>
    <x v="45"/>
    <x v="10"/>
    <x v="14"/>
    <n v="354"/>
    <x v="1"/>
    <x v="1"/>
    <s v="High Discounts"/>
    <x v="0"/>
  </r>
  <r>
    <x v="107"/>
    <n v="450"/>
    <n v="900"/>
    <x v="29"/>
    <x v="22"/>
    <x v="18"/>
    <n v="450"/>
    <x v="2"/>
    <x v="1"/>
    <s v="High Discounts"/>
    <x v="0"/>
  </r>
  <r>
    <x v="108"/>
    <n v="169"/>
    <n v="320"/>
    <x v="1"/>
    <x v="10"/>
    <x v="14"/>
    <n v="151"/>
    <x v="1"/>
    <x v="1"/>
    <s v="High Discounts"/>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26F24A-EE77-4DA9-BD39-71D5F6A5E43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ice ">
  <location ref="B13:C16" firstHeaderRow="1" firstDataRow="1" firstDataCol="1"/>
  <pivotFields count="11">
    <pivotField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dataField="1" numFmtId="164" showAll="0"/>
    <pivotField numFmtId="164" showAll="0"/>
    <pivotField numFmtId="9" showAll="0"/>
    <pivotField showAll="0"/>
    <pivotField showAll="0"/>
    <pivotField numFmtId="164" showAll="0"/>
    <pivotField showAll="0">
      <items count="4">
        <item x="1"/>
        <item x="2"/>
        <item x="0"/>
        <item t="default"/>
      </items>
    </pivotField>
    <pivotField showAll="0">
      <items count="4">
        <item x="1"/>
        <item x="2"/>
        <item x="0"/>
        <item t="default"/>
      </items>
    </pivotField>
    <pivotField showAll="0"/>
    <pivotField axis="axisRow" showAll="0">
      <items count="4">
        <item h="1" x="0"/>
        <item x="1"/>
        <item x="2"/>
        <item t="default"/>
      </items>
    </pivotField>
  </pivotFields>
  <rowFields count="1">
    <field x="10"/>
  </rowFields>
  <rowItems count="3">
    <i>
      <x v="1"/>
    </i>
    <i>
      <x v="2"/>
    </i>
    <i t="grand">
      <x/>
    </i>
  </rowItems>
  <colItems count="1">
    <i/>
  </colItems>
  <dataFields count="1">
    <dataField name="Sum of Current price" fld="1" baseField="0" baseItem="0" numFmtId="164"/>
  </dataFields>
  <chartFormats count="2">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877012-3CCD-402F-A90C-C075C79939A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 Cat">
  <location ref="A3:D7" firstHeaderRow="0" firstDataRow="1" firstDataCol="1"/>
  <pivotFields count="11">
    <pivotField showAll="0"/>
    <pivotField numFmtId="164" showAll="0"/>
    <pivotField numFmtId="164" showAll="0"/>
    <pivotField dataField="1" numFmtId="9" showAll="0"/>
    <pivotField dataField="1" showAll="0"/>
    <pivotField showAll="0"/>
    <pivotField dataField="1" numFmtId="164" showAll="0"/>
    <pivotField showAll="0">
      <items count="4">
        <item x="1"/>
        <item x="2"/>
        <item x="0"/>
        <item t="default"/>
      </items>
    </pivotField>
    <pivotField axis="axisRow" showAll="0">
      <items count="4">
        <item x="1"/>
        <item x="2"/>
        <item x="0"/>
        <item t="default"/>
      </items>
    </pivotField>
    <pivotField showAll="0"/>
    <pivotField showAll="0"/>
  </pivotFields>
  <rowFields count="1">
    <field x="8"/>
  </rowFields>
  <rowItems count="4">
    <i>
      <x/>
    </i>
    <i>
      <x v="1"/>
    </i>
    <i>
      <x v="2"/>
    </i>
    <i t="grand">
      <x/>
    </i>
  </rowItems>
  <colFields count="1">
    <field x="-2"/>
  </colFields>
  <colItems count="3">
    <i>
      <x/>
    </i>
    <i i="1">
      <x v="1"/>
    </i>
    <i i="2">
      <x v="2"/>
    </i>
  </colItems>
  <dataFields count="3">
    <dataField name="Avg Rating (Out of 5)" fld="4" subtotal="average" baseField="9" baseItem="0" numFmtId="43"/>
    <dataField name="Discount Amount." fld="6" subtotal="average" baseField="9" baseItem="0" numFmtId="164"/>
    <dataField name="Percentage Discount" fld="3" subtotal="average" baseField="9" baseItem="0" numFmtId="9"/>
  </dataFields>
  <formats count="1">
    <format dxfId="1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80B20C-3704-4180-ABAA-2E5939060BC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ating Cat">
  <location ref="A3:B7" firstHeaderRow="1" firstDataRow="1" firstDataCol="1"/>
  <pivotFields count="11">
    <pivotField dataField="1" showAll="0"/>
    <pivotField numFmtId="164" showAll="0"/>
    <pivotField numFmtId="164" showAll="0"/>
    <pivotField numFmtId="9" showAll="0"/>
    <pivotField showAll="0"/>
    <pivotField showAll="0"/>
    <pivotField numFmtId="164" showAll="0"/>
    <pivotField axis="axisRow" showAll="0">
      <items count="4">
        <item x="1"/>
        <item x="2"/>
        <item x="0"/>
        <item t="default"/>
      </items>
    </pivotField>
    <pivotField showAll="0">
      <items count="4">
        <item x="1"/>
        <item x="2"/>
        <item x="0"/>
        <item t="default"/>
      </items>
    </pivotField>
    <pivotField showAll="0"/>
    <pivotField showAll="0"/>
  </pivotFields>
  <rowFields count="1">
    <field x="7"/>
  </rowFields>
  <rowItems count="4">
    <i>
      <x/>
    </i>
    <i>
      <x v="1"/>
    </i>
    <i>
      <x v="2"/>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9CA54-167F-4DCD-8446-06499CDF2CF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
  <location ref="A3:B11" firstHeaderRow="1" firstDataRow="1" firstDataCol="1"/>
  <pivotFields count="11">
    <pivotField showAll="0"/>
    <pivotField numFmtId="164" showAll="0"/>
    <pivotField numFmtId="164" showAll="0"/>
    <pivotField axis="axisRow" numFmtId="9" showAll="0">
      <items count="10">
        <item x="0"/>
        <item x="1"/>
        <item x="2"/>
        <item x="3"/>
        <item x="4"/>
        <item x="5"/>
        <item x="6"/>
        <item x="7"/>
        <item x="8"/>
        <item t="default"/>
      </items>
    </pivotField>
    <pivotField showAll="0"/>
    <pivotField dataField="1" showAll="0"/>
    <pivotField numFmtId="164" showAll="0"/>
    <pivotField showAll="0">
      <items count="4">
        <item x="1"/>
        <item x="2"/>
        <item x="0"/>
        <item t="default"/>
      </items>
    </pivotField>
    <pivotField showAll="0">
      <items count="4">
        <item x="1"/>
        <item x="2"/>
        <item x="0"/>
        <item t="default"/>
      </items>
    </pivotField>
    <pivotField showAll="0"/>
    <pivotField showAll="0"/>
  </pivotFields>
  <rowFields count="1">
    <field x="3"/>
  </rowFields>
  <rowItems count="8">
    <i>
      <x v="1"/>
    </i>
    <i>
      <x v="2"/>
    </i>
    <i>
      <x v="3"/>
    </i>
    <i>
      <x v="4"/>
    </i>
    <i>
      <x v="5"/>
    </i>
    <i>
      <x v="6"/>
    </i>
    <i>
      <x v="7"/>
    </i>
    <i t="grand">
      <x/>
    </i>
  </rowItems>
  <colItems count="1">
    <i/>
  </colItems>
  <dataFields count="1">
    <dataField name="Count of Review Flag" fld="5" subtotal="count" baseField="3"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1A5655-8E83-442C-B557-B17A2A8CB23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ating">
  <location ref="A3:B7" firstHeaderRow="1" firstDataRow="1" firstDataCol="1"/>
  <pivotFields count="11">
    <pivotField showAll="0"/>
    <pivotField numFmtId="164" showAll="0"/>
    <pivotField numFmtId="164" showAll="0"/>
    <pivotField numFmtId="9" showAll="0"/>
    <pivotField axis="axisRow" showAll="0">
      <items count="7">
        <item x="0"/>
        <item x="1"/>
        <item x="2"/>
        <item x="3"/>
        <item x="4"/>
        <item x="5"/>
        <item t="default"/>
      </items>
    </pivotField>
    <pivotField dataField="1" showAll="0"/>
    <pivotField numFmtId="164" showAll="0"/>
    <pivotField showAll="0">
      <items count="4">
        <item x="1"/>
        <item x="2"/>
        <item x="0"/>
        <item t="default"/>
      </items>
    </pivotField>
    <pivotField showAll="0">
      <items count="4">
        <item x="1"/>
        <item x="2"/>
        <item x="0"/>
        <item t="default"/>
      </items>
    </pivotField>
    <pivotField showAll="0"/>
    <pivotField showAll="0"/>
  </pivotFields>
  <rowFields count="1">
    <field x="4"/>
  </rowFields>
  <rowItems count="4">
    <i>
      <x v="2"/>
    </i>
    <i>
      <x v="3"/>
    </i>
    <i>
      <x v="4"/>
    </i>
    <i t="grand">
      <x/>
    </i>
  </rowItems>
  <colItems count="1">
    <i/>
  </colItems>
  <dataFields count="1">
    <dataField name=" Review Flag" fld="5"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2"/>
          </reference>
        </references>
      </pivotArea>
    </chartFormat>
    <chartFormat chart="4" format="7">
      <pivotArea type="data" outline="0" fieldPosition="0">
        <references count="2">
          <reference field="4294967294" count="1" selected="0">
            <x v="0"/>
          </reference>
          <reference field="4" count="1" selected="0">
            <x v="3"/>
          </reference>
        </references>
      </pivotArea>
    </chartFormat>
    <chartFormat chart="4" format="8">
      <pivotArea type="data" outline="0" fieldPosition="0">
        <references count="2">
          <reference field="4294967294" count="1" selected="0">
            <x v="0"/>
          </reference>
          <reference field="4" count="1" selected="0">
            <x v="4"/>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3"/>
          </reference>
        </references>
      </pivotArea>
    </chartFormat>
    <chartFormat chart="0" format="3">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20D429-78A9-497C-A315-D76A41BCD60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isc Cat">
  <location ref="A3:B7" firstHeaderRow="1" firstDataRow="1" firstDataCol="1"/>
  <pivotFields count="11">
    <pivotField showAll="0"/>
    <pivotField numFmtId="164" showAll="0"/>
    <pivotField numFmtId="164" showAll="0"/>
    <pivotField numFmtId="9" showAll="0"/>
    <pivotField showAll="0"/>
    <pivotField dataField="1" showAll="0"/>
    <pivotField numFmtId="164" showAll="0"/>
    <pivotField showAll="0">
      <items count="4">
        <item x="1"/>
        <item x="2"/>
        <item x="0"/>
        <item t="default"/>
      </items>
    </pivotField>
    <pivotField axis="axisRow" showAll="0">
      <items count="4">
        <item x="1"/>
        <item x="2"/>
        <item x="0"/>
        <item t="default"/>
      </items>
    </pivotField>
    <pivotField showAll="0"/>
    <pivotField showAll="0"/>
  </pivotFields>
  <rowFields count="1">
    <field x="8"/>
  </rowFields>
  <rowItems count="4">
    <i>
      <x/>
    </i>
    <i>
      <x v="1"/>
    </i>
    <i>
      <x v="2"/>
    </i>
    <i t="grand">
      <x/>
    </i>
  </rowItems>
  <colItems count="1">
    <i/>
  </colItems>
  <dataFields count="1">
    <dataField name="Count of Review Flag" fld="5" subtotal="count" baseField="9"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CF77F7-CEF7-40FC-B275-DD0C7C74894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3:C14" firstHeaderRow="0" firstDataRow="1" firstDataCol="1"/>
  <pivotFields count="11">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64" showAll="0"/>
    <pivotField numFmtId="164" showAll="0"/>
    <pivotField numFmtId="9" showAll="0"/>
    <pivotField showAll="0"/>
    <pivotField dataField="1" showAll="0"/>
    <pivotField dataField="1" numFmtId="164" showAll="0"/>
    <pivotField showAll="0">
      <items count="4">
        <item x="1"/>
        <item x="2"/>
        <item x="0"/>
        <item t="default"/>
      </items>
    </pivotField>
    <pivotField showAll="0">
      <items count="4">
        <item x="1"/>
        <item x="2"/>
        <item x="0"/>
        <item t="default"/>
      </items>
    </pivotField>
    <pivotField showAll="0"/>
    <pivotField showAll="0"/>
  </pivotFields>
  <rowFields count="1">
    <field x="0"/>
  </rowFields>
  <rowItems count="11">
    <i>
      <x v="16"/>
    </i>
    <i>
      <x v="24"/>
    </i>
    <i>
      <x v="30"/>
    </i>
    <i>
      <x v="58"/>
    </i>
    <i>
      <x v="67"/>
    </i>
    <i>
      <x v="68"/>
    </i>
    <i>
      <x v="70"/>
    </i>
    <i>
      <x v="71"/>
    </i>
    <i>
      <x v="72"/>
    </i>
    <i>
      <x v="82"/>
    </i>
    <i t="grand">
      <x/>
    </i>
  </rowItems>
  <colFields count="1">
    <field x="-2"/>
  </colFields>
  <colItems count="2">
    <i>
      <x/>
    </i>
    <i i="1">
      <x v="1"/>
    </i>
  </colItems>
  <dataFields count="2">
    <dataField name="Sum of Discount Amount" fld="6" baseField="0" baseItem="0" numFmtId="164"/>
    <dataField name="Sum of Review Flag" fld="5"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60885A-798D-432D-BB04-0757566F72E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1">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9" showAll="0"/>
    <pivotField showAll="0"/>
    <pivotField dataField="1" showAll="0"/>
    <pivotField numFmtId="164" showAll="0"/>
    <pivotField showAll="0">
      <items count="4">
        <item x="1"/>
        <item x="2"/>
        <item x="0"/>
        <item t="default"/>
      </items>
    </pivotField>
    <pivotField showAll="0">
      <items count="4">
        <item x="1"/>
        <item x="2"/>
        <item x="0"/>
        <item t="default"/>
      </items>
    </pivotField>
    <pivotField showAll="0"/>
    <pivotField showAll="0"/>
  </pivotFields>
  <rowFields count="1">
    <field x="0"/>
  </rowFields>
  <rowItems count="11">
    <i>
      <x v="5"/>
    </i>
    <i>
      <x v="8"/>
    </i>
    <i>
      <x v="59"/>
    </i>
    <i>
      <x v="18"/>
    </i>
    <i>
      <x v="1"/>
    </i>
    <i>
      <x v="95"/>
    </i>
    <i>
      <x v="27"/>
    </i>
    <i>
      <x v="91"/>
    </i>
    <i>
      <x v="28"/>
    </i>
    <i>
      <x v="26"/>
    </i>
    <i t="grand">
      <x/>
    </i>
  </rowItems>
  <colItems count="1">
    <i/>
  </colItems>
  <dataFields count="1">
    <dataField name="Sum of Review Flag" fld="5"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EDE02D-EBEA-4458-9831-65D6A21213F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1">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64" showAll="0"/>
    <pivotField numFmtId="164" showAll="0"/>
    <pivotField numFmtId="9" showAll="0"/>
    <pivotField dataField="1" showAll="0"/>
    <pivotField showAll="0"/>
    <pivotField numFmtId="164" showAll="0"/>
    <pivotField showAll="0">
      <items count="4">
        <item x="1"/>
        <item x="2"/>
        <item x="0"/>
        <item t="default"/>
      </items>
    </pivotField>
    <pivotField showAll="0">
      <items count="4">
        <item x="1"/>
        <item x="2"/>
        <item x="0"/>
        <item t="default"/>
      </items>
    </pivotField>
    <pivotField showAll="0"/>
    <pivotField showAll="0"/>
  </pivotFields>
  <rowFields count="1">
    <field x="0"/>
  </rowFields>
  <rowItems count="8">
    <i>
      <x v="40"/>
    </i>
    <i>
      <x v="44"/>
    </i>
    <i>
      <x v="52"/>
    </i>
    <i>
      <x v="57"/>
    </i>
    <i>
      <x v="65"/>
    </i>
    <i>
      <x v="68"/>
    </i>
    <i>
      <x v="87"/>
    </i>
    <i t="grand">
      <x/>
    </i>
  </rowItems>
  <colItems count="1">
    <i/>
  </colItems>
  <dataFields count="1">
    <dataField name="Average of Rating" fld="4" subtotal="average" baseField="0" baseItem="39"/>
  </dataField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565F9A8-B90E-4BAD-AFD9-01D9751E8A2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1">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64" showAll="0"/>
    <pivotField numFmtId="164" showAll="0"/>
    <pivotField numFmtId="9" showAll="0"/>
    <pivotField dataField="1" showAll="0"/>
    <pivotField showAll="0"/>
    <pivotField numFmtId="164" showAll="0"/>
    <pivotField showAll="0">
      <items count="4">
        <item x="1"/>
        <item x="2"/>
        <item x="0"/>
        <item t="default"/>
      </items>
    </pivotField>
    <pivotField showAll="0">
      <items count="4">
        <item x="1"/>
        <item x="2"/>
        <item x="0"/>
        <item t="default"/>
      </items>
    </pivotField>
    <pivotField showAll="0"/>
    <pivotField showAll="0"/>
  </pivotFields>
  <rowFields count="1">
    <field x="0"/>
  </rowFields>
  <rowItems count="6">
    <i>
      <x v="30"/>
    </i>
    <i>
      <x v="35"/>
    </i>
    <i>
      <x v="41"/>
    </i>
    <i>
      <x v="58"/>
    </i>
    <i>
      <x v="104"/>
    </i>
    <i t="grand">
      <x/>
    </i>
  </rowItems>
  <colItems count="1">
    <i/>
  </colItems>
  <dataFields count="1">
    <dataField name="Average of Rating" fld="4" subtotal="average" baseField="0" baseItem="0"/>
  </dataFields>
  <pivotTableStyleInfo name="PivotStyleLight16" showRowHeaders="1" showColHeaders="1" showRowStripes="0" showColStripes="0" showLastColumn="1"/>
  <filters count="1">
    <filter fld="0"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906F72E-97F3-4F0B-9096-A55F9FB4B39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isc Cat">
  <location ref="A3:D7" firstHeaderRow="0" firstDataRow="1" firstDataCol="1"/>
  <pivotFields count="11">
    <pivotField showAll="0"/>
    <pivotField numFmtId="164" showAll="0"/>
    <pivotField numFmtId="164" showAll="0"/>
    <pivotField numFmtId="9" showAll="0"/>
    <pivotField dataField="1" showAll="0"/>
    <pivotField dataField="1" showAll="0"/>
    <pivotField numFmtId="164" showAll="0"/>
    <pivotField showAll="0">
      <items count="4">
        <item x="1"/>
        <item x="2"/>
        <item x="0"/>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s>
  <rowFields count="1">
    <field x="8"/>
  </rowFields>
  <rowItems count="4">
    <i>
      <x v="2"/>
    </i>
    <i>
      <x v="1"/>
    </i>
    <i>
      <x/>
    </i>
    <i t="grand">
      <x/>
    </i>
  </rowItems>
  <colFields count="1">
    <field x="-2"/>
  </colFields>
  <colItems count="3">
    <i>
      <x/>
    </i>
    <i i="1">
      <x v="1"/>
    </i>
    <i i="2">
      <x v="2"/>
    </i>
  </colItems>
  <dataFields count="3">
    <dataField name="Average of Rating" fld="4" subtotal="average" baseField="9" baseItem="0" numFmtId="2"/>
    <dataField name="Average of Review Flag" fld="5" subtotal="average" baseField="9" baseItem="0" numFmtId="2"/>
    <dataField name="Count of Review Flag" fld="5" subtotal="count" baseField="9" baseItem="0"/>
  </dataFields>
  <formats count="1">
    <format dxfId="11">
      <pivotArea outline="0" collapsedLevelsAreSubtotals="1" fieldPosition="0">
        <references count="1">
          <reference field="4294967294" count="2" selected="0">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A1C6065F-F677-433F-BB60-7211C6824BA1}" sourceName="Rating Category">
  <pivotTables>
    <pivotTable tabId="2" name="PivotTable1"/>
    <pivotTable tabId="11" name="PivotTable4"/>
    <pivotTable tabId="14" name="PivotTable7"/>
    <pivotTable tabId="12" name="PivotTable5"/>
    <pivotTable tabId="8" name="PivotTable9"/>
    <pivotTable tabId="3" name="PivotTable2"/>
    <pivotTable tabId="4" name="PivotTable3"/>
    <pivotTable tabId="13" name="PivotTable6"/>
    <pivotTable tabId="6" name="PivotTable5"/>
    <pivotTable tabId="9" name="PivotTable2"/>
    <pivotTable tabId="10" name="PivotTable3"/>
  </pivotTables>
  <data>
    <tabular pivotCacheId="287924438">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__IF" xr10:uid="{579BFAB0-7FA1-4FDE-A692-AD1E3C6AFA7A}" sourceName="Discount Category -IF">
  <pivotTables>
    <pivotTable tabId="2" name="PivotTable1"/>
    <pivotTable tabId="11" name="PivotTable4"/>
    <pivotTable tabId="14" name="PivotTable7"/>
    <pivotTable tabId="12" name="PivotTable5"/>
    <pivotTable tabId="8" name="PivotTable9"/>
    <pivotTable tabId="3" name="PivotTable2"/>
    <pivotTable tabId="4" name="PivotTable3"/>
    <pivotTable tabId="13" name="PivotTable6"/>
    <pivotTable tabId="6" name="PivotTable5"/>
    <pivotTable tabId="9" name="PivotTable2"/>
    <pivotTable tabId="10" name="PivotTable3"/>
  </pivotTables>
  <data>
    <tabular pivotCacheId="28792443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1" xr10:uid="{74CEA284-672F-406A-8AFB-D527AF4F2FFE}" cache="Slicer_Rating_Category" caption="Rating Category" rowHeight="241300"/>
  <slicer name="Discount Category -IF 1" xr10:uid="{2651C411-0781-448C-8BCD-ECE9F8FB3AF0}" cache="Slicer_Discount_Category__IF" caption="Discount Category -IF"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FF1B1C-670D-4DFC-8FAB-12AEB5BAC3E2}" name="Table1" displayName="Table1" ref="A1:K111" totalsRowCount="1" headerRowDxfId="10">
  <autoFilter ref="A1:K110" xr:uid="{CEFF1B1C-670D-4DFC-8FAB-12AEB5BAC3E2}"/>
  <tableColumns count="11">
    <tableColumn id="1" xr3:uid="{D41D40CA-FE8B-45E8-85F4-50AE90BCEC1A}" name="Product"/>
    <tableColumn id="2" xr3:uid="{EA052F0A-4E03-4E79-9143-7FB5E089BE33}" name="Current price" dataDxfId="9" totalsRowDxfId="8"/>
    <tableColumn id="3" xr3:uid="{EC02CF9A-C209-4A5B-BA6E-A91BDBFCAA78}" name="old price" dataDxfId="7" totalsRowDxfId="6"/>
    <tableColumn id="4" xr3:uid="{307744CF-A61A-48AD-AA53-6CB9D5EE0F83}" name="Discount" dataDxfId="5" totalsRowDxfId="4"/>
    <tableColumn id="6" xr3:uid="{8858E92F-47C3-4378-B456-8D77194FA267}" name="Rating"/>
    <tableColumn id="7" xr3:uid="{CC524B32-EB0D-41F6-A77B-534D8CB0731D}" name="Review Flag" totalsRowFunction="sum"/>
    <tableColumn id="8" xr3:uid="{AEB35642-7FF9-41DD-9BFD-56DB69AB1EDD}" name="Discount Amount" dataDxfId="3" totalsRowDxfId="2">
      <calculatedColumnFormula>C2-B2</calculatedColumnFormula>
    </tableColumn>
    <tableColumn id="9" xr3:uid="{14234A44-C8A8-4398-A8A6-EFA2FD2F4837}" name="Rating Category">
      <calculatedColumnFormula array="1">_xlfn.IFS(E2&lt;=3,"Below",E2&lt;=4.4,"Average",E2&gt;=4.4,"Excellent")</calculatedColumnFormula>
    </tableColumn>
    <tableColumn id="10" xr3:uid="{84B40048-570A-4E6D-A2C8-C759053A5F80}" name="Discount Category -IF">
      <calculatedColumnFormula>IF(D2&lt;=20%,"Low Discount",IF(D2&lt;=40%,"Medium Discount",IF(D2&gt;=40%,"High Discount")))</calculatedColumnFormula>
    </tableColumn>
    <tableColumn id="11" xr3:uid="{672F41AE-11BE-4124-8C4F-FDF50361930E}" name="Discount Category - IFS">
      <calculatedColumnFormula array="1">_xlfn.IFS(D2&lt;=20%, "Low Discount", D2&lt;=40%, "Medium Discounts", D2&gt;40%, "High Discounts")</calculatedColumnFormula>
    </tableColumn>
    <tableColumn id="5" xr3:uid="{C5818C42-36C3-4FD6-86DD-F71A4DDE311B}" name="Price Flag" dataDxfId="1">
      <calculatedColumnFormula>IF(B2=MAX($B$2:$B$110),"Most Expensive",IF(B2=MIN($B$2:$B$110),"Least Expensive",""))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F051A-F6D7-453C-8EB0-DA538E630CFF}">
  <dimension ref="A1:J16"/>
  <sheetViews>
    <sheetView workbookViewId="0">
      <selection activeCell="I9" sqref="I9"/>
    </sheetView>
  </sheetViews>
  <sheetFormatPr defaultRowHeight="15" x14ac:dyDescent="0.25"/>
  <cols>
    <col min="1" max="1" width="2" bestFit="1" customWidth="1"/>
    <col min="2" max="2" width="15.140625" bestFit="1" customWidth="1"/>
    <col min="3" max="3" width="19.42578125" bestFit="1" customWidth="1"/>
    <col min="4" max="4" width="13.28515625" bestFit="1" customWidth="1"/>
    <col min="6" max="6" width="18" customWidth="1"/>
    <col min="8" max="8" width="2" bestFit="1" customWidth="1"/>
    <col min="9" max="9" width="70.85546875" bestFit="1" customWidth="1"/>
    <col min="10" max="10" width="12.5703125" bestFit="1" customWidth="1"/>
  </cols>
  <sheetData>
    <row r="1" spans="1:10" ht="15.75" thickBot="1" x14ac:dyDescent="0.3"/>
    <row r="2" spans="1:10" ht="15.75" thickBot="1" x14ac:dyDescent="0.3">
      <c r="B2" s="11" t="s">
        <v>147</v>
      </c>
      <c r="C2" s="12"/>
      <c r="D2" s="13"/>
      <c r="E2" s="13"/>
      <c r="F2" s="14"/>
      <c r="I2" s="20" t="s">
        <v>152</v>
      </c>
      <c r="J2" s="20" t="s">
        <v>153</v>
      </c>
    </row>
    <row r="3" spans="1:10" ht="15.75" thickBot="1" x14ac:dyDescent="0.3">
      <c r="A3" s="25">
        <v>1</v>
      </c>
      <c r="B3" s="15" t="s">
        <v>148</v>
      </c>
      <c r="C3" s="15" t="s">
        <v>149</v>
      </c>
      <c r="D3" s="16" t="s">
        <v>150</v>
      </c>
      <c r="E3" s="10"/>
      <c r="F3" s="16" t="s">
        <v>151</v>
      </c>
      <c r="H3" s="25">
        <v>2</v>
      </c>
      <c r="I3" s="23" t="s">
        <v>24</v>
      </c>
      <c r="J3" s="21">
        <v>38</v>
      </c>
    </row>
    <row r="4" spans="1:10" ht="15.75" thickBot="1" x14ac:dyDescent="0.3">
      <c r="B4" s="18">
        <v>1208.2568807339449</v>
      </c>
      <c r="C4" s="18">
        <v>1837.7522935779816</v>
      </c>
      <c r="D4" s="17">
        <v>0.36385321100917423</v>
      </c>
      <c r="E4" s="2"/>
      <c r="F4" s="19">
        <v>3.8892477064220223</v>
      </c>
      <c r="I4" s="24" t="s">
        <v>69</v>
      </c>
      <c r="J4" s="22">
        <v>3750</v>
      </c>
    </row>
    <row r="13" spans="1:10" x14ac:dyDescent="0.25">
      <c r="B13" s="7" t="s">
        <v>177</v>
      </c>
      <c r="C13" t="s">
        <v>173</v>
      </c>
    </row>
    <row r="14" spans="1:10" x14ac:dyDescent="0.25">
      <c r="B14" s="8" t="s">
        <v>175</v>
      </c>
      <c r="C14" s="4">
        <v>38</v>
      </c>
    </row>
    <row r="15" spans="1:10" x14ac:dyDescent="0.25">
      <c r="B15" s="8" t="s">
        <v>176</v>
      </c>
      <c r="C15" s="4">
        <v>3750</v>
      </c>
    </row>
    <row r="16" spans="1:10" x14ac:dyDescent="0.25">
      <c r="B16" s="8" t="s">
        <v>125</v>
      </c>
      <c r="C16" s="4">
        <v>3788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50D57-DFE7-4EEB-862B-83A7406D89FE}">
  <dimension ref="A3:D7"/>
  <sheetViews>
    <sheetView showGridLines="0" workbookViewId="0">
      <selection activeCell="B23" sqref="B23"/>
    </sheetView>
  </sheetViews>
  <sheetFormatPr defaultRowHeight="15" x14ac:dyDescent="0.25"/>
  <cols>
    <col min="1" max="1" width="16.7109375" bestFit="1" customWidth="1"/>
    <col min="2" max="2" width="19.42578125" bestFit="1" customWidth="1"/>
    <col min="3" max="3" width="17" bestFit="1" customWidth="1"/>
    <col min="4" max="4" width="19.42578125" bestFit="1" customWidth="1"/>
  </cols>
  <sheetData>
    <row r="3" spans="1:4" x14ac:dyDescent="0.25">
      <c r="A3" s="7" t="s">
        <v>154</v>
      </c>
      <c r="B3" t="s">
        <v>129</v>
      </c>
      <c r="C3" t="s">
        <v>128</v>
      </c>
      <c r="D3" t="s">
        <v>127</v>
      </c>
    </row>
    <row r="4" spans="1:4" x14ac:dyDescent="0.25">
      <c r="A4" s="8" t="s">
        <v>122</v>
      </c>
      <c r="B4" s="29">
        <v>3.7488305084745779</v>
      </c>
      <c r="C4" s="4">
        <v>719</v>
      </c>
      <c r="D4" s="1">
        <v>0.48203389830508458</v>
      </c>
    </row>
    <row r="5" spans="1:4" x14ac:dyDescent="0.25">
      <c r="A5" s="8" t="s">
        <v>123</v>
      </c>
      <c r="B5" s="29">
        <v>3.8655789473684217</v>
      </c>
      <c r="C5" s="4">
        <v>176.94736842105263</v>
      </c>
      <c r="D5" s="1">
        <v>7.8947368421052641E-2</v>
      </c>
    </row>
    <row r="6" spans="1:4" x14ac:dyDescent="0.25">
      <c r="A6" s="8" t="s">
        <v>124</v>
      </c>
      <c r="B6" s="29">
        <v>4.1709999999999994</v>
      </c>
      <c r="C6" s="4">
        <v>736.51612903225805</v>
      </c>
      <c r="D6" s="1">
        <v>0.31354838709677407</v>
      </c>
    </row>
    <row r="7" spans="1:4" x14ac:dyDescent="0.25">
      <c r="A7" s="8" t="s">
        <v>125</v>
      </c>
      <c r="B7" s="29">
        <v>3.8892477064220214</v>
      </c>
      <c r="C7" s="4">
        <v>629.49541284403665</v>
      </c>
      <c r="D7" s="1">
        <v>0.36385321100917439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47BE9-665B-4C05-9254-B818DEEBBF6C}">
  <dimension ref="A3:B7"/>
  <sheetViews>
    <sheetView showGridLines="0" workbookViewId="0">
      <selection activeCell="D5" sqref="D5"/>
    </sheetView>
  </sheetViews>
  <sheetFormatPr defaultRowHeight="15" x14ac:dyDescent="0.25"/>
  <cols>
    <col min="1" max="1" width="12.140625" bestFit="1" customWidth="1"/>
    <col min="2" max="2" width="16" bestFit="1" customWidth="1"/>
  </cols>
  <sheetData>
    <row r="3" spans="1:2" x14ac:dyDescent="0.25">
      <c r="A3" s="7" t="s">
        <v>155</v>
      </c>
      <c r="B3" t="s">
        <v>133</v>
      </c>
    </row>
    <row r="4" spans="1:2" x14ac:dyDescent="0.25">
      <c r="A4" s="8" t="s">
        <v>130</v>
      </c>
      <c r="B4">
        <v>69</v>
      </c>
    </row>
    <row r="5" spans="1:2" x14ac:dyDescent="0.25">
      <c r="A5" s="8" t="s">
        <v>131</v>
      </c>
      <c r="B5">
        <v>17</v>
      </c>
    </row>
    <row r="6" spans="1:2" x14ac:dyDescent="0.25">
      <c r="A6" s="8" t="s">
        <v>132</v>
      </c>
      <c r="B6">
        <v>23</v>
      </c>
    </row>
    <row r="7" spans="1:2" x14ac:dyDescent="0.25">
      <c r="A7" s="8" t="s">
        <v>125</v>
      </c>
      <c r="B7">
        <v>109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57213-349B-447A-A7CC-EC3117E5CD17}">
  <dimension ref="A2:F13"/>
  <sheetViews>
    <sheetView showGridLines="0" workbookViewId="0">
      <selection activeCell="C1" sqref="C1"/>
    </sheetView>
  </sheetViews>
  <sheetFormatPr defaultRowHeight="15" x14ac:dyDescent="0.25"/>
  <cols>
    <col min="1" max="1" width="11.28515625" bestFit="1" customWidth="1"/>
    <col min="2" max="2" width="19.85546875" bestFit="1" customWidth="1"/>
    <col min="3" max="3" width="18.42578125" bestFit="1" customWidth="1"/>
    <col min="4" max="4" width="66.5703125" bestFit="1" customWidth="1"/>
  </cols>
  <sheetData>
    <row r="2" spans="1:6" x14ac:dyDescent="0.25">
      <c r="D2" s="2" t="s">
        <v>142</v>
      </c>
    </row>
    <row r="3" spans="1:6" x14ac:dyDescent="0.25">
      <c r="A3" s="7" t="s">
        <v>3</v>
      </c>
      <c r="B3" t="s">
        <v>141</v>
      </c>
      <c r="D3" s="2" t="s">
        <v>161</v>
      </c>
    </row>
    <row r="4" spans="1:6" x14ac:dyDescent="0.25">
      <c r="A4" s="9" t="s">
        <v>134</v>
      </c>
      <c r="B4">
        <v>12</v>
      </c>
      <c r="D4" s="2"/>
    </row>
    <row r="5" spans="1:6" x14ac:dyDescent="0.25">
      <c r="A5" s="9" t="s">
        <v>135</v>
      </c>
      <c r="B5">
        <v>7</v>
      </c>
    </row>
    <row r="6" spans="1:6" x14ac:dyDescent="0.25">
      <c r="A6" s="9" t="s">
        <v>136</v>
      </c>
      <c r="B6">
        <v>13</v>
      </c>
    </row>
    <row r="7" spans="1:6" x14ac:dyDescent="0.25">
      <c r="A7" s="9" t="s">
        <v>137</v>
      </c>
      <c r="B7">
        <v>18</v>
      </c>
      <c r="D7" s="31" t="s">
        <v>179</v>
      </c>
    </row>
    <row r="8" spans="1:6" x14ac:dyDescent="0.25">
      <c r="A8" s="9" t="s">
        <v>138</v>
      </c>
      <c r="B8">
        <v>48</v>
      </c>
      <c r="D8" s="2" t="s">
        <v>144</v>
      </c>
      <c r="E8" s="2"/>
      <c r="F8" s="2"/>
    </row>
    <row r="9" spans="1:6" x14ac:dyDescent="0.25">
      <c r="A9" s="9" t="s">
        <v>139</v>
      </c>
      <c r="B9">
        <v>9</v>
      </c>
      <c r="D9" s="2" t="s">
        <v>145</v>
      </c>
      <c r="E9" s="2"/>
      <c r="F9" s="2"/>
    </row>
    <row r="10" spans="1:6" x14ac:dyDescent="0.25">
      <c r="A10" s="9" t="s">
        <v>140</v>
      </c>
      <c r="B10">
        <v>2</v>
      </c>
      <c r="D10" s="2" t="s">
        <v>146</v>
      </c>
      <c r="E10" s="2"/>
      <c r="F10" s="2"/>
    </row>
    <row r="11" spans="1:6" x14ac:dyDescent="0.25">
      <c r="A11" s="9" t="s">
        <v>125</v>
      </c>
      <c r="B11">
        <v>109</v>
      </c>
      <c r="D11" s="2"/>
      <c r="E11" s="2"/>
      <c r="F11" s="2"/>
    </row>
    <row r="12" spans="1:6" x14ac:dyDescent="0.25">
      <c r="D12" s="2"/>
      <c r="E12" s="2"/>
      <c r="F12" s="2"/>
    </row>
    <row r="13" spans="1:6" x14ac:dyDescent="0.25">
      <c r="D13" s="2"/>
      <c r="E13" s="2"/>
      <c r="F13"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57BE-BD4E-446C-A690-53630A159431}">
  <dimension ref="A1:E7"/>
  <sheetViews>
    <sheetView showGridLines="0" workbookViewId="0">
      <selection activeCell="N12" sqref="N12"/>
    </sheetView>
  </sheetViews>
  <sheetFormatPr defaultRowHeight="15" x14ac:dyDescent="0.25"/>
  <cols>
    <col min="1" max="1" width="11.28515625" bestFit="1" customWidth="1"/>
    <col min="2" max="2" width="12" bestFit="1" customWidth="1"/>
  </cols>
  <sheetData>
    <row r="1" spans="1:5" x14ac:dyDescent="0.25">
      <c r="E1" s="2" t="s">
        <v>165</v>
      </c>
    </row>
    <row r="3" spans="1:5" x14ac:dyDescent="0.25">
      <c r="A3" s="7" t="s">
        <v>112</v>
      </c>
      <c r="B3" t="s">
        <v>178</v>
      </c>
    </row>
    <row r="4" spans="1:5" x14ac:dyDescent="0.25">
      <c r="A4" s="8" t="s">
        <v>162</v>
      </c>
      <c r="B4">
        <v>169</v>
      </c>
    </row>
    <row r="5" spans="1:5" x14ac:dyDescent="0.25">
      <c r="A5" s="8" t="s">
        <v>163</v>
      </c>
      <c r="B5">
        <v>69</v>
      </c>
    </row>
    <row r="6" spans="1:5" x14ac:dyDescent="0.25">
      <c r="A6" s="8" t="s">
        <v>164</v>
      </c>
      <c r="B6">
        <v>485</v>
      </c>
    </row>
    <row r="7" spans="1:5" x14ac:dyDescent="0.25">
      <c r="A7" s="8" t="s">
        <v>125</v>
      </c>
      <c r="B7">
        <v>723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9FC5F-3DE9-456F-B276-34A7884A452C}">
  <dimension ref="A1:G7"/>
  <sheetViews>
    <sheetView showGridLines="0" workbookViewId="0">
      <selection activeCell="L10" sqref="L10"/>
    </sheetView>
  </sheetViews>
  <sheetFormatPr defaultRowHeight="15" x14ac:dyDescent="0.25"/>
  <cols>
    <col min="1" max="1" width="16.7109375" bestFit="1" customWidth="1"/>
    <col min="2" max="2" width="19.85546875" bestFit="1" customWidth="1"/>
  </cols>
  <sheetData>
    <row r="1" spans="1:7" x14ac:dyDescent="0.25">
      <c r="G1" s="2" t="s">
        <v>143</v>
      </c>
    </row>
    <row r="3" spans="1:7" x14ac:dyDescent="0.25">
      <c r="A3" s="7" t="s">
        <v>154</v>
      </c>
      <c r="B3" t="s">
        <v>141</v>
      </c>
    </row>
    <row r="4" spans="1:7" x14ac:dyDescent="0.25">
      <c r="A4" s="8" t="s">
        <v>122</v>
      </c>
      <c r="B4">
        <v>59</v>
      </c>
    </row>
    <row r="5" spans="1:7" x14ac:dyDescent="0.25">
      <c r="A5" s="8" t="s">
        <v>123</v>
      </c>
      <c r="B5">
        <v>19</v>
      </c>
    </row>
    <row r="6" spans="1:7" x14ac:dyDescent="0.25">
      <c r="A6" s="8" t="s">
        <v>124</v>
      </c>
      <c r="B6">
        <v>31</v>
      </c>
    </row>
    <row r="7" spans="1:7" x14ac:dyDescent="0.25">
      <c r="A7" s="8" t="s">
        <v>125</v>
      </c>
      <c r="B7">
        <v>109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6BB13-A089-489E-BADE-3DDB8FF3E14C}">
  <dimension ref="A2:D14"/>
  <sheetViews>
    <sheetView showGridLines="0" workbookViewId="0">
      <selection activeCell="A22" sqref="A22"/>
    </sheetView>
  </sheetViews>
  <sheetFormatPr defaultRowHeight="15" x14ac:dyDescent="0.25"/>
  <cols>
    <col min="1" max="1" width="72.140625" bestFit="1" customWidth="1"/>
    <col min="2" max="2" width="23.28515625" bestFit="1" customWidth="1"/>
    <col min="3" max="3" width="18.42578125" bestFit="1" customWidth="1"/>
  </cols>
  <sheetData>
    <row r="2" spans="1:4" x14ac:dyDescent="0.25">
      <c r="D2" s="2" t="s">
        <v>168</v>
      </c>
    </row>
    <row r="3" spans="1:4" x14ac:dyDescent="0.25">
      <c r="A3" s="7" t="s">
        <v>0</v>
      </c>
      <c r="B3" t="s">
        <v>126</v>
      </c>
      <c r="C3" t="s">
        <v>156</v>
      </c>
    </row>
    <row r="4" spans="1:4" x14ac:dyDescent="0.25">
      <c r="A4" s="8" t="s">
        <v>69</v>
      </c>
      <c r="B4" s="4">
        <v>2393</v>
      </c>
      <c r="C4">
        <v>5</v>
      </c>
    </row>
    <row r="5" spans="1:4" x14ac:dyDescent="0.25">
      <c r="A5" s="8" t="s">
        <v>25</v>
      </c>
      <c r="B5" s="4">
        <v>1360</v>
      </c>
      <c r="C5">
        <v>0</v>
      </c>
    </row>
    <row r="6" spans="1:4" x14ac:dyDescent="0.25">
      <c r="A6" s="8" t="s">
        <v>63</v>
      </c>
      <c r="B6" s="4">
        <v>2585</v>
      </c>
      <c r="C6">
        <v>13</v>
      </c>
    </row>
    <row r="7" spans="1:4" x14ac:dyDescent="0.25">
      <c r="A7" s="8" t="s">
        <v>75</v>
      </c>
      <c r="B7" s="4">
        <v>1418</v>
      </c>
      <c r="C7">
        <v>7</v>
      </c>
    </row>
    <row r="8" spans="1:4" x14ac:dyDescent="0.25">
      <c r="A8" s="8" t="s">
        <v>28</v>
      </c>
      <c r="B8" s="4">
        <v>2452</v>
      </c>
      <c r="C8">
        <v>7</v>
      </c>
    </row>
    <row r="9" spans="1:4" x14ac:dyDescent="0.25">
      <c r="A9" s="8" t="s">
        <v>21</v>
      </c>
      <c r="B9" s="4">
        <v>1946</v>
      </c>
      <c r="C9">
        <v>3</v>
      </c>
    </row>
    <row r="10" spans="1:4" x14ac:dyDescent="0.25">
      <c r="A10" s="8" t="s">
        <v>12</v>
      </c>
      <c r="B10" s="4">
        <v>1526</v>
      </c>
      <c r="C10">
        <v>5</v>
      </c>
    </row>
    <row r="11" spans="1:4" x14ac:dyDescent="0.25">
      <c r="A11" s="8" t="s">
        <v>42</v>
      </c>
      <c r="B11" s="4">
        <v>1721</v>
      </c>
      <c r="C11">
        <v>0</v>
      </c>
    </row>
    <row r="12" spans="1:4" x14ac:dyDescent="0.25">
      <c r="A12" s="8" t="s">
        <v>35</v>
      </c>
      <c r="B12" s="4">
        <v>1670</v>
      </c>
      <c r="C12">
        <v>9</v>
      </c>
    </row>
    <row r="13" spans="1:4" x14ac:dyDescent="0.25">
      <c r="A13" s="8" t="s">
        <v>113</v>
      </c>
      <c r="B13" s="4">
        <v>1880</v>
      </c>
      <c r="C13">
        <v>0</v>
      </c>
    </row>
    <row r="14" spans="1:4" x14ac:dyDescent="0.25">
      <c r="A14" s="8" t="s">
        <v>125</v>
      </c>
      <c r="B14" s="4">
        <v>18951</v>
      </c>
      <c r="C14">
        <v>49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A2257-D66F-407E-8651-3805799F88AD}">
  <dimension ref="A2:D14"/>
  <sheetViews>
    <sheetView showGridLines="0" workbookViewId="0">
      <selection activeCell="A22" sqref="A22"/>
    </sheetView>
  </sheetViews>
  <sheetFormatPr defaultRowHeight="15" x14ac:dyDescent="0.25"/>
  <cols>
    <col min="1" max="1" width="66" bestFit="1" customWidth="1"/>
    <col min="2" max="2" width="18.42578125" bestFit="1" customWidth="1"/>
  </cols>
  <sheetData>
    <row r="2" spans="1:4" x14ac:dyDescent="0.25">
      <c r="D2" s="2" t="s">
        <v>167</v>
      </c>
    </row>
    <row r="3" spans="1:4" x14ac:dyDescent="0.25">
      <c r="A3" s="7" t="s">
        <v>121</v>
      </c>
      <c r="B3" t="s">
        <v>156</v>
      </c>
    </row>
    <row r="4" spans="1:4" x14ac:dyDescent="0.25">
      <c r="A4" s="8" t="s">
        <v>64</v>
      </c>
      <c r="B4">
        <v>69</v>
      </c>
    </row>
    <row r="5" spans="1:4" x14ac:dyDescent="0.25">
      <c r="A5" s="8" t="s">
        <v>10</v>
      </c>
      <c r="B5">
        <v>55</v>
      </c>
    </row>
    <row r="6" spans="1:4" x14ac:dyDescent="0.25">
      <c r="A6" s="8" t="s">
        <v>29</v>
      </c>
      <c r="B6">
        <v>49</v>
      </c>
    </row>
    <row r="7" spans="1:4" x14ac:dyDescent="0.25">
      <c r="A7" s="8" t="s">
        <v>23</v>
      </c>
      <c r="B7">
        <v>44</v>
      </c>
    </row>
    <row r="8" spans="1:4" x14ac:dyDescent="0.25">
      <c r="A8" s="8" t="s">
        <v>15</v>
      </c>
      <c r="B8">
        <v>39</v>
      </c>
    </row>
    <row r="9" spans="1:4" x14ac:dyDescent="0.25">
      <c r="A9" s="8" t="s">
        <v>40</v>
      </c>
      <c r="B9">
        <v>36</v>
      </c>
    </row>
    <row r="10" spans="1:4" x14ac:dyDescent="0.25">
      <c r="A10" s="8" t="s">
        <v>37</v>
      </c>
      <c r="B10">
        <v>32</v>
      </c>
    </row>
    <row r="11" spans="1:4" x14ac:dyDescent="0.25">
      <c r="A11" s="8" t="s">
        <v>6</v>
      </c>
      <c r="B11">
        <v>24</v>
      </c>
    </row>
    <row r="12" spans="1:4" x14ac:dyDescent="0.25">
      <c r="A12" s="8" t="s">
        <v>36</v>
      </c>
      <c r="B12">
        <v>20</v>
      </c>
    </row>
    <row r="13" spans="1:4" x14ac:dyDescent="0.25">
      <c r="A13" s="8" t="s">
        <v>32</v>
      </c>
      <c r="B13">
        <v>20</v>
      </c>
    </row>
    <row r="14" spans="1:4" x14ac:dyDescent="0.25">
      <c r="A14" s="8" t="s">
        <v>125</v>
      </c>
      <c r="B14">
        <v>388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782D2-D61B-4148-AF0C-B5FE7E1F7E59}">
  <dimension ref="A2:D11"/>
  <sheetViews>
    <sheetView showGridLines="0" workbookViewId="0">
      <selection activeCell="A13" sqref="A13"/>
    </sheetView>
  </sheetViews>
  <sheetFormatPr defaultRowHeight="15" x14ac:dyDescent="0.25"/>
  <cols>
    <col min="1" max="1" width="69.85546875" bestFit="1" customWidth="1"/>
    <col min="2" max="2" width="16.7109375" bestFit="1" customWidth="1"/>
  </cols>
  <sheetData>
    <row r="2" spans="1:4" x14ac:dyDescent="0.25">
      <c r="D2" s="2" t="s">
        <v>166</v>
      </c>
    </row>
    <row r="3" spans="1:4" x14ac:dyDescent="0.25">
      <c r="A3" s="7" t="s">
        <v>121</v>
      </c>
      <c r="B3" t="s">
        <v>157</v>
      </c>
    </row>
    <row r="4" spans="1:4" x14ac:dyDescent="0.25">
      <c r="A4" s="8" t="s">
        <v>19</v>
      </c>
      <c r="B4">
        <v>5</v>
      </c>
    </row>
    <row r="5" spans="1:4" x14ac:dyDescent="0.25">
      <c r="A5" s="8" t="s">
        <v>81</v>
      </c>
      <c r="B5">
        <v>5</v>
      </c>
    </row>
    <row r="6" spans="1:4" x14ac:dyDescent="0.25">
      <c r="A6" s="8" t="s">
        <v>39</v>
      </c>
      <c r="B6">
        <v>5</v>
      </c>
    </row>
    <row r="7" spans="1:4" x14ac:dyDescent="0.25">
      <c r="A7" s="8" t="s">
        <v>38</v>
      </c>
      <c r="B7">
        <v>5</v>
      </c>
    </row>
    <row r="8" spans="1:4" x14ac:dyDescent="0.25">
      <c r="A8" s="8" t="s">
        <v>101</v>
      </c>
      <c r="B8">
        <v>5</v>
      </c>
    </row>
    <row r="9" spans="1:4" x14ac:dyDescent="0.25">
      <c r="A9" s="8" t="s">
        <v>21</v>
      </c>
      <c r="B9">
        <v>5</v>
      </c>
    </row>
    <row r="10" spans="1:4" x14ac:dyDescent="0.25">
      <c r="A10" s="8" t="s">
        <v>20</v>
      </c>
      <c r="B10">
        <v>5</v>
      </c>
    </row>
    <row r="11" spans="1:4" x14ac:dyDescent="0.25">
      <c r="A11" s="8" t="s">
        <v>125</v>
      </c>
      <c r="B11">
        <v>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6BF96-798F-4A09-B13B-6C49E4D71ACA}">
  <dimension ref="A2:E9"/>
  <sheetViews>
    <sheetView showGridLines="0" workbookViewId="0"/>
  </sheetViews>
  <sheetFormatPr defaultRowHeight="15" x14ac:dyDescent="0.25"/>
  <cols>
    <col min="1" max="1" width="72.140625" bestFit="1" customWidth="1"/>
    <col min="2" max="2" width="16.7109375" bestFit="1" customWidth="1"/>
  </cols>
  <sheetData>
    <row r="2" spans="1:5" x14ac:dyDescent="0.25">
      <c r="E2" s="2" t="s">
        <v>166</v>
      </c>
    </row>
    <row r="3" spans="1:5" x14ac:dyDescent="0.25">
      <c r="A3" s="7" t="s">
        <v>121</v>
      </c>
      <c r="B3" t="s">
        <v>157</v>
      </c>
    </row>
    <row r="4" spans="1:5" x14ac:dyDescent="0.25">
      <c r="A4" s="8" t="s">
        <v>63</v>
      </c>
      <c r="B4">
        <v>2.1</v>
      </c>
    </row>
    <row r="5" spans="1:5" x14ac:dyDescent="0.25">
      <c r="A5" s="8" t="s">
        <v>74</v>
      </c>
      <c r="B5">
        <v>2.2000000000000002</v>
      </c>
    </row>
    <row r="6" spans="1:5" x14ac:dyDescent="0.25">
      <c r="A6" s="8" t="s">
        <v>67</v>
      </c>
      <c r="B6">
        <v>2.2000000000000002</v>
      </c>
    </row>
    <row r="7" spans="1:5" x14ac:dyDescent="0.25">
      <c r="A7" s="8" t="s">
        <v>75</v>
      </c>
      <c r="B7">
        <v>2.1</v>
      </c>
    </row>
    <row r="8" spans="1:5" x14ac:dyDescent="0.25">
      <c r="A8" s="8" t="s">
        <v>110</v>
      </c>
      <c r="B8">
        <v>2</v>
      </c>
    </row>
    <row r="9" spans="1:5" x14ac:dyDescent="0.25">
      <c r="A9" s="8" t="s">
        <v>125</v>
      </c>
      <c r="B9">
        <v>2.12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13C14-1633-4F98-8FB3-7639BA489FA8}">
  <dimension ref="A2:J7"/>
  <sheetViews>
    <sheetView showGridLines="0" workbookViewId="0">
      <selection activeCell="F10" sqref="F10"/>
    </sheetView>
  </sheetViews>
  <sheetFormatPr defaultRowHeight="15" x14ac:dyDescent="0.25"/>
  <cols>
    <col min="1" max="2" width="16.7109375" bestFit="1" customWidth="1"/>
    <col min="3" max="3" width="22" bestFit="1" customWidth="1"/>
    <col min="4" max="4" width="19.85546875" bestFit="1" customWidth="1"/>
  </cols>
  <sheetData>
    <row r="2" spans="1:10" x14ac:dyDescent="0.25">
      <c r="J2" t="s">
        <v>158</v>
      </c>
    </row>
    <row r="3" spans="1:10" x14ac:dyDescent="0.25">
      <c r="A3" s="7" t="s">
        <v>154</v>
      </c>
      <c r="B3" t="s">
        <v>157</v>
      </c>
      <c r="C3" t="s">
        <v>159</v>
      </c>
      <c r="D3" t="s">
        <v>141</v>
      </c>
    </row>
    <row r="4" spans="1:10" x14ac:dyDescent="0.25">
      <c r="A4" s="8" t="s">
        <v>124</v>
      </c>
      <c r="B4" s="26">
        <v>4.1709999999999994</v>
      </c>
      <c r="C4" s="26">
        <v>10.935483870967742</v>
      </c>
      <c r="D4">
        <v>31</v>
      </c>
      <c r="J4" s="2" t="s">
        <v>160</v>
      </c>
    </row>
    <row r="5" spans="1:10" x14ac:dyDescent="0.25">
      <c r="A5" s="8" t="s">
        <v>123</v>
      </c>
      <c r="B5" s="26">
        <v>3.8655789473684217</v>
      </c>
      <c r="C5" s="26">
        <v>2.6315789473684212</v>
      </c>
      <c r="D5">
        <v>19</v>
      </c>
    </row>
    <row r="6" spans="1:10" x14ac:dyDescent="0.25">
      <c r="A6" s="8" t="s">
        <v>122</v>
      </c>
      <c r="B6" s="26">
        <v>3.7488305084745779</v>
      </c>
      <c r="C6" s="26">
        <v>5.6610169491525424</v>
      </c>
      <c r="D6">
        <v>59</v>
      </c>
    </row>
    <row r="7" spans="1:10" x14ac:dyDescent="0.25">
      <c r="A7" s="8" t="s">
        <v>125</v>
      </c>
      <c r="B7" s="26">
        <v>3.8892477064220214</v>
      </c>
      <c r="C7" s="26">
        <v>6.6330275229357802</v>
      </c>
      <c r="D7">
        <v>109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012CD-4FBD-4224-8D1C-215EBA05DD29}">
  <dimension ref="A1"/>
  <sheetViews>
    <sheetView tabSelected="1" zoomScale="80" zoomScaleNormal="80" workbookViewId="0">
      <selection activeCell="S13" sqref="S13"/>
    </sheetView>
  </sheetViews>
  <sheetFormatPr defaultRowHeight="15" x14ac:dyDescent="0.25"/>
  <cols>
    <col min="1" max="3" width="9.140625" style="27"/>
    <col min="4" max="4" width="2.5703125" style="27" customWidth="1"/>
    <col min="5" max="7" width="9.140625" style="27"/>
    <col min="8" max="8" width="30.5703125" style="27" bestFit="1" customWidth="1"/>
    <col min="9" max="16384" width="9.140625" style="2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F2352-278D-4DD6-AD3B-98E643EB6219}">
  <dimension ref="A1:M129"/>
  <sheetViews>
    <sheetView workbookViewId="0">
      <pane ySplit="1" topLeftCell="A2" activePane="bottomLeft" state="frozen"/>
      <selection pane="bottomLeft" activeCell="G32" sqref="G32"/>
    </sheetView>
  </sheetViews>
  <sheetFormatPr defaultRowHeight="15" x14ac:dyDescent="0.25"/>
  <cols>
    <col min="1" max="1" width="95.7109375" bestFit="1" customWidth="1"/>
    <col min="2" max="2" width="30.5703125" style="4" bestFit="1" customWidth="1"/>
    <col min="3" max="3" width="19.42578125" style="4" bestFit="1" customWidth="1"/>
    <col min="4" max="4" width="15.7109375" customWidth="1"/>
    <col min="5" max="5" width="16.7109375" customWidth="1"/>
    <col min="6" max="6" width="13.7109375" customWidth="1"/>
    <col min="7" max="7" width="18.42578125" customWidth="1"/>
    <col min="8" max="8" width="17" customWidth="1"/>
    <col min="9" max="9" width="21.85546875" customWidth="1"/>
    <col min="10" max="10" width="23.28515625" customWidth="1"/>
    <col min="11" max="14" width="17.7109375" customWidth="1"/>
  </cols>
  <sheetData>
    <row r="1" spans="1:13" x14ac:dyDescent="0.25">
      <c r="A1" s="2" t="s">
        <v>0</v>
      </c>
      <c r="B1" s="3" t="s">
        <v>1</v>
      </c>
      <c r="C1" s="3" t="s">
        <v>2</v>
      </c>
      <c r="D1" s="2" t="s">
        <v>3</v>
      </c>
      <c r="E1" s="2" t="s">
        <v>112</v>
      </c>
      <c r="F1" s="2" t="s">
        <v>114</v>
      </c>
      <c r="G1" s="2" t="s">
        <v>115</v>
      </c>
      <c r="H1" s="2" t="s">
        <v>116</v>
      </c>
      <c r="I1" s="2" t="s">
        <v>120</v>
      </c>
      <c r="J1" s="2" t="s">
        <v>119</v>
      </c>
      <c r="K1" s="2" t="s">
        <v>174</v>
      </c>
    </row>
    <row r="2" spans="1:13" ht="15.75" x14ac:dyDescent="0.25">
      <c r="A2" t="s">
        <v>4</v>
      </c>
      <c r="B2" s="4">
        <v>950</v>
      </c>
      <c r="C2" s="4">
        <v>1525</v>
      </c>
      <c r="D2" s="1">
        <v>0.38</v>
      </c>
      <c r="E2">
        <v>4.5</v>
      </c>
      <c r="F2">
        <v>2</v>
      </c>
      <c r="G2" s="4">
        <f t="shared" ref="G2:G33" si="0">C2-B2</f>
        <v>575</v>
      </c>
      <c r="H2" t="str" cm="1">
        <f t="array" ref="H2">_xlfn.IFS(E2&lt;=3,"Below",E2&lt;=4.4,"Average",E2&gt;=4.4,"Excellent")</f>
        <v>Excellent</v>
      </c>
      <c r="I2" t="str">
        <f t="shared" ref="I2:I33" si="1">IF(D2&lt;=20%,"Low Discount",IF(D2&lt;=40%,"Medium Discount",IF(D2&gt;=40%,"High Discount")))</f>
        <v>Medium Discount</v>
      </c>
      <c r="J2" t="str" cm="1">
        <f t="array" ref="J2">_xlfn.IFS(D2&lt;=20%, "Low Discount", D2&lt;=40%, "Medium Discounts", D2&gt;40%, "High Discounts")</f>
        <v>Medium Discounts</v>
      </c>
      <c r="K2" s="30" t="str">
        <f t="shared" ref="K2:K33" si="2">IF(B2=MAX($B$2:$B$110),"Most Expensive",IF(B2=MIN($B$2:$B$110),"Least Expensive",""))</f>
        <v/>
      </c>
      <c r="L2" s="30" t="str">
        <f>IF(A2=MAX($A$2:$A$100),"Most Expensive",IF(A2=MIN($A$2:$A$100),"Least Expensive",""))</f>
        <v/>
      </c>
    </row>
    <row r="3" spans="1:13" ht="15.75" x14ac:dyDescent="0.25">
      <c r="A3" t="s">
        <v>5</v>
      </c>
      <c r="B3" s="4">
        <v>527</v>
      </c>
      <c r="C3" s="4">
        <v>999</v>
      </c>
      <c r="D3" s="1">
        <v>0.47</v>
      </c>
      <c r="E3">
        <v>4.0999999999999996</v>
      </c>
      <c r="F3">
        <v>14</v>
      </c>
      <c r="G3" s="4">
        <f t="shared" si="0"/>
        <v>472</v>
      </c>
      <c r="H3" t="str" cm="1">
        <f t="array" ref="H3">_xlfn.IFS(E3&lt;=3,"Below",E3&lt;=4.4,"Average",E3&gt;=4.4,"Excellent")</f>
        <v>Average</v>
      </c>
      <c r="I3" t="str">
        <f t="shared" si="1"/>
        <v>High Discount</v>
      </c>
      <c r="J3" t="str" cm="1">
        <f t="array" ref="J3">_xlfn.IFS(D3&lt;=20%, "Low Discount", D3&lt;=40%, "Medium Discounts", D3&gt;40%, "High Discounts")</f>
        <v>High Discounts</v>
      </c>
      <c r="K3" s="30" t="str">
        <f t="shared" si="2"/>
        <v/>
      </c>
    </row>
    <row r="4" spans="1:13" ht="15.75" x14ac:dyDescent="0.25">
      <c r="A4" t="s">
        <v>6</v>
      </c>
      <c r="B4" s="4">
        <v>2199</v>
      </c>
      <c r="C4" s="4">
        <v>2923</v>
      </c>
      <c r="D4" s="1">
        <v>0.25</v>
      </c>
      <c r="E4">
        <v>4.5999999999999996</v>
      </c>
      <c r="F4">
        <v>24</v>
      </c>
      <c r="G4" s="4">
        <f t="shared" si="0"/>
        <v>724</v>
      </c>
      <c r="H4" t="str" cm="1">
        <f t="array" ref="H4">_xlfn.IFS(E4&lt;=3,"Below",E4&lt;=4.4,"Average",E4&gt;=4.4,"Excellent")</f>
        <v>Excellent</v>
      </c>
      <c r="I4" t="str">
        <f t="shared" si="1"/>
        <v>Medium Discount</v>
      </c>
      <c r="J4" t="str" cm="1">
        <f t="array" ref="J4">_xlfn.IFS(D4&lt;=20%, "Low Discount", D4&lt;=40%, "Medium Discounts", D4&gt;40%, "High Discounts")</f>
        <v>Medium Discounts</v>
      </c>
      <c r="K4" s="30" t="str">
        <f t="shared" si="2"/>
        <v/>
      </c>
    </row>
    <row r="5" spans="1:13" ht="15.75" x14ac:dyDescent="0.25">
      <c r="A5" t="s">
        <v>7</v>
      </c>
      <c r="B5" s="4">
        <v>1580</v>
      </c>
      <c r="C5" s="4">
        <v>2499</v>
      </c>
      <c r="D5" s="1">
        <v>0.37</v>
      </c>
      <c r="E5">
        <v>4.7</v>
      </c>
      <c r="F5">
        <v>7</v>
      </c>
      <c r="G5" s="4">
        <f t="shared" si="0"/>
        <v>919</v>
      </c>
      <c r="H5" t="str" cm="1">
        <f t="array" ref="H5">_xlfn.IFS(E5&lt;=3,"Below",E5&lt;=4.4,"Average",E5&gt;=4.4,"Excellent")</f>
        <v>Excellent</v>
      </c>
      <c r="I5" t="str">
        <f t="shared" si="1"/>
        <v>Medium Discount</v>
      </c>
      <c r="J5" t="str" cm="1">
        <f t="array" ref="J5">_xlfn.IFS(D5&lt;=20%, "Low Discount", D5&lt;=40%, "Medium Discounts", D5&gt;40%, "High Discounts")</f>
        <v>Medium Discounts</v>
      </c>
      <c r="K5" s="30" t="str">
        <f t="shared" si="2"/>
        <v/>
      </c>
    </row>
    <row r="6" spans="1:13" ht="15.75" x14ac:dyDescent="0.25">
      <c r="A6" t="s">
        <v>8</v>
      </c>
      <c r="B6" s="4">
        <v>1740</v>
      </c>
      <c r="C6" s="4">
        <v>2356</v>
      </c>
      <c r="D6" s="1">
        <v>0.26</v>
      </c>
      <c r="E6">
        <v>4.8</v>
      </c>
      <c r="F6">
        <v>5</v>
      </c>
      <c r="G6" s="4">
        <f t="shared" si="0"/>
        <v>616</v>
      </c>
      <c r="H6" t="str" cm="1">
        <f t="array" ref="H6">_xlfn.IFS(E6&lt;=3,"Below",E6&lt;=4.4,"Average",E6&gt;=4.4,"Excellent")</f>
        <v>Excellent</v>
      </c>
      <c r="I6" t="str">
        <f t="shared" si="1"/>
        <v>Medium Discount</v>
      </c>
      <c r="J6" t="str" cm="1">
        <f t="array" ref="J6">_xlfn.IFS(D6&lt;=20%, "Low Discount", D6&lt;=40%, "Medium Discounts", D6&gt;40%, "High Discounts")</f>
        <v>Medium Discounts</v>
      </c>
      <c r="K6" s="30" t="str">
        <f t="shared" si="2"/>
        <v/>
      </c>
      <c r="M6" s="30" t="str">
        <f>IF(A2=MAX($A$2:$A$100),"Most Expensive",IF(A2=MIN($A$2:$A$100),"Least Expensive",""))</f>
        <v/>
      </c>
    </row>
    <row r="7" spans="1:13" ht="15.75" x14ac:dyDescent="0.25">
      <c r="A7" t="s">
        <v>9</v>
      </c>
      <c r="B7" s="4">
        <v>2999</v>
      </c>
      <c r="C7" s="4">
        <v>3290</v>
      </c>
      <c r="D7" s="1">
        <v>0.09</v>
      </c>
      <c r="E7">
        <v>4</v>
      </c>
      <c r="F7">
        <v>15</v>
      </c>
      <c r="G7" s="4">
        <f t="shared" si="0"/>
        <v>291</v>
      </c>
      <c r="H7" t="str" cm="1">
        <f t="array" ref="H7">_xlfn.IFS(E7&lt;=3,"Below",E7&lt;=4.4,"Average",E7&gt;=4.4,"Excellent")</f>
        <v>Average</v>
      </c>
      <c r="I7" t="str">
        <f t="shared" si="1"/>
        <v>Low Discount</v>
      </c>
      <c r="J7" t="str" cm="1">
        <f t="array" ref="J7">_xlfn.IFS(D7&lt;=20%, "Low Discount", D7&lt;=40%, "Medium Discounts", D7&gt;40%, "High Discounts")</f>
        <v>Low Discount</v>
      </c>
      <c r="K7" s="30" t="str">
        <f t="shared" si="2"/>
        <v/>
      </c>
    </row>
    <row r="8" spans="1:13" ht="15.75" x14ac:dyDescent="0.25">
      <c r="A8" t="s">
        <v>10</v>
      </c>
      <c r="B8" s="4">
        <v>2319</v>
      </c>
      <c r="C8" s="4">
        <v>3032</v>
      </c>
      <c r="D8" s="1">
        <v>0.24</v>
      </c>
      <c r="E8">
        <v>4.5999999999999996</v>
      </c>
      <c r="F8">
        <v>55</v>
      </c>
      <c r="G8" s="4">
        <f t="shared" si="0"/>
        <v>713</v>
      </c>
      <c r="H8" t="str" cm="1">
        <f t="array" ref="H8">_xlfn.IFS(E8&lt;=3,"Below",E8&lt;=4.4,"Average",E8&gt;=4.4,"Excellent")</f>
        <v>Excellent</v>
      </c>
      <c r="I8" t="str">
        <f t="shared" si="1"/>
        <v>Medium Discount</v>
      </c>
      <c r="J8" t="str" cm="1">
        <f t="array" ref="J8">_xlfn.IFS(D8&lt;=20%, "Low Discount", D8&lt;=40%, "Medium Discounts", D8&gt;40%, "High Discounts")</f>
        <v>Medium Discounts</v>
      </c>
      <c r="K8" s="30" t="str">
        <f t="shared" si="2"/>
        <v/>
      </c>
      <c r="M8" t="str">
        <f>IF(A2=MAX($A$2:$A$100),"Most Expensive",IF(A2=MIN($A$2:$A$100),"Least Expensive",""))</f>
        <v/>
      </c>
    </row>
    <row r="9" spans="1:13" ht="15.75" x14ac:dyDescent="0.25">
      <c r="A9" t="s">
        <v>11</v>
      </c>
      <c r="B9" s="4">
        <v>988</v>
      </c>
      <c r="C9" s="4">
        <v>1580</v>
      </c>
      <c r="D9" s="1">
        <v>0.37</v>
      </c>
      <c r="E9">
        <v>4</v>
      </c>
      <c r="F9">
        <v>2</v>
      </c>
      <c r="G9" s="4">
        <f t="shared" si="0"/>
        <v>592</v>
      </c>
      <c r="H9" t="str" cm="1">
        <f t="array" ref="H9">_xlfn.IFS(E9&lt;=3,"Below",E9&lt;=4.4,"Average",E9&gt;=4.4,"Excellent")</f>
        <v>Average</v>
      </c>
      <c r="I9" t="str">
        <f t="shared" si="1"/>
        <v>Medium Discount</v>
      </c>
      <c r="J9" t="str" cm="1">
        <f t="array" ref="J9">_xlfn.IFS(D9&lt;=20%, "Low Discount", D9&lt;=40%, "Medium Discounts", D9&gt;40%, "High Discounts")</f>
        <v>Medium Discounts</v>
      </c>
      <c r="K9" s="30" t="str">
        <f t="shared" si="2"/>
        <v/>
      </c>
    </row>
    <row r="10" spans="1:13" ht="15.75" x14ac:dyDescent="0.25">
      <c r="A10" t="s">
        <v>12</v>
      </c>
      <c r="B10" s="4">
        <v>1274</v>
      </c>
      <c r="C10" s="4">
        <v>2800</v>
      </c>
      <c r="D10" s="1">
        <v>0.55000000000000004</v>
      </c>
      <c r="E10">
        <v>4.8</v>
      </c>
      <c r="F10">
        <v>5</v>
      </c>
      <c r="G10" s="4">
        <f t="shared" si="0"/>
        <v>1526</v>
      </c>
      <c r="H10" t="str" cm="1">
        <f t="array" ref="H10">_xlfn.IFS(E10&lt;=3,"Below",E10&lt;=4.4,"Average",E10&gt;=4.4,"Excellent")</f>
        <v>Excellent</v>
      </c>
      <c r="I10" t="str">
        <f t="shared" si="1"/>
        <v>High Discount</v>
      </c>
      <c r="J10" t="str" cm="1">
        <f t="array" ref="J10">_xlfn.IFS(D10&lt;=20%, "Low Discount", D10&lt;=40%, "Medium Discounts", D10&gt;40%, "High Discounts")</f>
        <v>High Discounts</v>
      </c>
      <c r="K10" s="30" t="str">
        <f t="shared" si="2"/>
        <v/>
      </c>
    </row>
    <row r="11" spans="1:13" ht="15.75" x14ac:dyDescent="0.25">
      <c r="A11" t="s">
        <v>13</v>
      </c>
      <c r="B11" s="4">
        <v>1600</v>
      </c>
      <c r="C11" s="4">
        <v>2929</v>
      </c>
      <c r="D11" s="1">
        <v>0.45</v>
      </c>
      <c r="E11">
        <v>3.8</v>
      </c>
      <c r="F11">
        <v>5</v>
      </c>
      <c r="G11" s="4">
        <f t="shared" si="0"/>
        <v>1329</v>
      </c>
      <c r="H11" t="str" cm="1">
        <f t="array" ref="H11">_xlfn.IFS(E11&lt;=3,"Below",E11&lt;=4.4,"Average",E11&gt;=4.4,"Excellent")</f>
        <v>Average</v>
      </c>
      <c r="I11" t="str">
        <f t="shared" si="1"/>
        <v>High Discount</v>
      </c>
      <c r="J11" t="str" cm="1">
        <f t="array" ref="J11">_xlfn.IFS(D11&lt;=20%, "Low Discount", D11&lt;=40%, "Medium Discounts", D11&gt;40%, "High Discounts")</f>
        <v>High Discounts</v>
      </c>
      <c r="K11" s="30" t="str">
        <f t="shared" si="2"/>
        <v/>
      </c>
    </row>
    <row r="12" spans="1:13" ht="15.75" x14ac:dyDescent="0.25">
      <c r="A12" t="s">
        <v>14</v>
      </c>
      <c r="B12" s="4">
        <v>799</v>
      </c>
      <c r="C12" s="4">
        <v>999</v>
      </c>
      <c r="D12" s="1">
        <v>0.2</v>
      </c>
      <c r="E12">
        <v>4.0999999999999996</v>
      </c>
      <c r="F12">
        <v>12</v>
      </c>
      <c r="G12" s="4">
        <f t="shared" si="0"/>
        <v>200</v>
      </c>
      <c r="H12" t="str" cm="1">
        <f t="array" ref="H12">_xlfn.IFS(E12&lt;=3,"Below",E12&lt;=4.4,"Average",E12&gt;=4.4,"Excellent")</f>
        <v>Average</v>
      </c>
      <c r="I12" t="str">
        <f t="shared" si="1"/>
        <v>Low Discount</v>
      </c>
      <c r="J12" t="str" cm="1">
        <f t="array" ref="J12">_xlfn.IFS(D12&lt;=20%, "Low Discount", D12&lt;=40%, "Medium Discounts", D12&gt;40%, "High Discounts")</f>
        <v>Low Discount</v>
      </c>
      <c r="K12" s="30" t="str">
        <f t="shared" si="2"/>
        <v/>
      </c>
    </row>
    <row r="13" spans="1:13" ht="15.75" x14ac:dyDescent="0.25">
      <c r="A13" t="s">
        <v>15</v>
      </c>
      <c r="B13" s="4">
        <v>990</v>
      </c>
      <c r="C13" s="4">
        <v>1500</v>
      </c>
      <c r="D13" s="1">
        <v>0.34</v>
      </c>
      <c r="E13">
        <v>4.7</v>
      </c>
      <c r="F13">
        <v>39</v>
      </c>
      <c r="G13" s="4">
        <f t="shared" si="0"/>
        <v>510</v>
      </c>
      <c r="H13" t="str" cm="1">
        <f t="array" ref="H13">_xlfn.IFS(E13&lt;=3,"Below",E13&lt;=4.4,"Average",E13&gt;=4.4,"Excellent")</f>
        <v>Excellent</v>
      </c>
      <c r="I13" t="str">
        <f t="shared" si="1"/>
        <v>Medium Discount</v>
      </c>
      <c r="J13" t="str" cm="1">
        <f t="array" ref="J13">_xlfn.IFS(D13&lt;=20%, "Low Discount", D13&lt;=40%, "Medium Discounts", D13&gt;40%, "High Discounts")</f>
        <v>Medium Discounts</v>
      </c>
      <c r="K13" s="30" t="str">
        <f t="shared" si="2"/>
        <v/>
      </c>
    </row>
    <row r="14" spans="1:13" ht="15.75" x14ac:dyDescent="0.25">
      <c r="A14" t="s">
        <v>16</v>
      </c>
      <c r="B14" s="4">
        <v>552</v>
      </c>
      <c r="C14" s="4">
        <v>1035</v>
      </c>
      <c r="D14" s="1">
        <v>0.47</v>
      </c>
      <c r="E14">
        <v>4.8</v>
      </c>
      <c r="F14">
        <v>12</v>
      </c>
      <c r="G14" s="4">
        <f t="shared" si="0"/>
        <v>483</v>
      </c>
      <c r="H14" t="str" cm="1">
        <f t="array" ref="H14">_xlfn.IFS(E14&lt;=3,"Below",E14&lt;=4.4,"Average",E14&gt;=4.4,"Excellent")</f>
        <v>Excellent</v>
      </c>
      <c r="I14" t="str">
        <f t="shared" si="1"/>
        <v>High Discount</v>
      </c>
      <c r="J14" t="str" cm="1">
        <f t="array" ref="J14">_xlfn.IFS(D14&lt;=20%, "Low Discount", D14&lt;=40%, "Medium Discounts", D14&gt;40%, "High Discounts")</f>
        <v>High Discounts</v>
      </c>
      <c r="K14" s="30" t="str">
        <f t="shared" si="2"/>
        <v/>
      </c>
    </row>
    <row r="15" spans="1:13" ht="15.75" x14ac:dyDescent="0.25">
      <c r="A15" t="s">
        <v>17</v>
      </c>
      <c r="B15" s="4">
        <v>501</v>
      </c>
      <c r="C15" s="4">
        <v>860</v>
      </c>
      <c r="D15" s="1">
        <v>0.42</v>
      </c>
      <c r="E15">
        <v>4.5</v>
      </c>
      <c r="F15">
        <v>6</v>
      </c>
      <c r="G15" s="4">
        <f t="shared" si="0"/>
        <v>359</v>
      </c>
      <c r="H15" t="str" cm="1">
        <f t="array" ref="H15">_xlfn.IFS(E15&lt;=3,"Below",E15&lt;=4.4,"Average",E15&gt;=4.4,"Excellent")</f>
        <v>Excellent</v>
      </c>
      <c r="I15" t="str">
        <f t="shared" si="1"/>
        <v>High Discount</v>
      </c>
      <c r="J15" t="str" cm="1">
        <f t="array" ref="J15">_xlfn.IFS(D15&lt;=20%, "Low Discount", D15&lt;=40%, "Medium Discounts", D15&gt;40%, "High Discounts")</f>
        <v>High Discounts</v>
      </c>
      <c r="K15" s="30" t="str">
        <f t="shared" si="2"/>
        <v/>
      </c>
    </row>
    <row r="16" spans="1:13" ht="15.75" x14ac:dyDescent="0.25">
      <c r="A16" t="s">
        <v>18</v>
      </c>
      <c r="B16" s="4">
        <v>1680</v>
      </c>
      <c r="C16" s="4">
        <v>2499</v>
      </c>
      <c r="D16" s="1">
        <v>0.33</v>
      </c>
      <c r="E16">
        <v>4.2</v>
      </c>
      <c r="F16">
        <v>9</v>
      </c>
      <c r="G16" s="4">
        <f t="shared" si="0"/>
        <v>819</v>
      </c>
      <c r="H16" t="str" cm="1">
        <f t="array" ref="H16">_xlfn.IFS(E16&lt;=3,"Below",E16&lt;=4.4,"Average",E16&gt;=4.4,"Excellent")</f>
        <v>Average</v>
      </c>
      <c r="I16" t="str">
        <f t="shared" si="1"/>
        <v>Medium Discount</v>
      </c>
      <c r="J16" t="str" cm="1">
        <f t="array" ref="J16">_xlfn.IFS(D16&lt;=20%, "Low Discount", D16&lt;=40%, "Medium Discounts", D16&gt;40%, "High Discounts")</f>
        <v>Medium Discounts</v>
      </c>
      <c r="K16" s="30" t="str">
        <f t="shared" si="2"/>
        <v/>
      </c>
    </row>
    <row r="17" spans="1:11" ht="15.75" x14ac:dyDescent="0.25">
      <c r="A17" t="s">
        <v>19</v>
      </c>
      <c r="B17" s="4">
        <v>332</v>
      </c>
      <c r="C17" s="4">
        <v>684</v>
      </c>
      <c r="D17" s="1">
        <v>0.51</v>
      </c>
      <c r="E17">
        <v>5</v>
      </c>
      <c r="F17">
        <v>2</v>
      </c>
      <c r="G17" s="4">
        <f t="shared" si="0"/>
        <v>352</v>
      </c>
      <c r="H17" t="str" cm="1">
        <f t="array" ref="H17">_xlfn.IFS(E17&lt;=3,"Below",E17&lt;=4.4,"Average",E17&gt;=4.4,"Excellent")</f>
        <v>Excellent</v>
      </c>
      <c r="I17" t="str">
        <f t="shared" si="1"/>
        <v>High Discount</v>
      </c>
      <c r="J17" t="str" cm="1">
        <f t="array" ref="J17">_xlfn.IFS(D17&lt;=20%, "Low Discount", D17&lt;=40%, "Medium Discounts", D17&gt;40%, "High Discounts")</f>
        <v>High Discounts</v>
      </c>
      <c r="K17" s="30" t="str">
        <f t="shared" si="2"/>
        <v/>
      </c>
    </row>
    <row r="18" spans="1:11" ht="15.75" x14ac:dyDescent="0.25">
      <c r="A18" t="s">
        <v>20</v>
      </c>
      <c r="B18" s="4">
        <v>195</v>
      </c>
      <c r="C18" s="4">
        <v>360</v>
      </c>
      <c r="D18" s="1">
        <v>0.46</v>
      </c>
      <c r="E18">
        <v>5</v>
      </c>
      <c r="F18">
        <v>2</v>
      </c>
      <c r="G18" s="4">
        <f t="shared" si="0"/>
        <v>165</v>
      </c>
      <c r="H18" t="str" cm="1">
        <f t="array" ref="H18">_xlfn.IFS(E18&lt;=3,"Below",E18&lt;=4.4,"Average",E18&gt;=4.4,"Excellent")</f>
        <v>Excellent</v>
      </c>
      <c r="I18" t="str">
        <f t="shared" si="1"/>
        <v>High Discount</v>
      </c>
      <c r="J18" t="str" cm="1">
        <f t="array" ref="J18">_xlfn.IFS(D18&lt;=20%, "Low Discount", D18&lt;=40%, "Medium Discounts", D18&gt;40%, "High Discounts")</f>
        <v>High Discounts</v>
      </c>
      <c r="K18" s="30" t="str">
        <f t="shared" si="2"/>
        <v/>
      </c>
    </row>
    <row r="19" spans="1:11" ht="15.75" x14ac:dyDescent="0.25">
      <c r="A19" t="s">
        <v>21</v>
      </c>
      <c r="B19" s="4">
        <v>2025</v>
      </c>
      <c r="C19" s="4">
        <v>3971</v>
      </c>
      <c r="D19" s="1">
        <v>0.49</v>
      </c>
      <c r="E19">
        <v>5</v>
      </c>
      <c r="F19">
        <v>3</v>
      </c>
      <c r="G19" s="4">
        <f t="shared" si="0"/>
        <v>1946</v>
      </c>
      <c r="H19" t="str" cm="1">
        <f t="array" ref="H19">_xlfn.IFS(E19&lt;=3,"Below",E19&lt;=4.4,"Average",E19&gt;=4.4,"Excellent")</f>
        <v>Excellent</v>
      </c>
      <c r="I19" t="str">
        <f t="shared" si="1"/>
        <v>High Discount</v>
      </c>
      <c r="J19" t="str" cm="1">
        <f t="array" ref="J19">_xlfn.IFS(D19&lt;=20%, "Low Discount", D19&lt;=40%, "Medium Discounts", D19&gt;40%, "High Discounts")</f>
        <v>High Discounts</v>
      </c>
      <c r="K19" s="30" t="str">
        <f t="shared" si="2"/>
        <v/>
      </c>
    </row>
    <row r="20" spans="1:11" ht="15.75" x14ac:dyDescent="0.25">
      <c r="A20" t="s">
        <v>22</v>
      </c>
      <c r="B20" s="4">
        <v>2999</v>
      </c>
      <c r="C20" s="4">
        <v>3699</v>
      </c>
      <c r="D20" s="1">
        <v>0.19</v>
      </c>
      <c r="E20">
        <v>4.5999999999999996</v>
      </c>
      <c r="F20">
        <v>5</v>
      </c>
      <c r="G20" s="4">
        <f t="shared" si="0"/>
        <v>700</v>
      </c>
      <c r="H20" t="str" cm="1">
        <f t="array" ref="H20">_xlfn.IFS(E20&lt;=3,"Below",E20&lt;=4.4,"Average",E20&gt;=4.4,"Excellent")</f>
        <v>Excellent</v>
      </c>
      <c r="I20" t="str">
        <f t="shared" si="1"/>
        <v>Low Discount</v>
      </c>
      <c r="J20" t="str" cm="1">
        <f t="array" ref="J20">_xlfn.IFS(D20&lt;=20%, "Low Discount", D20&lt;=40%, "Medium Discounts", D20&gt;40%, "High Discounts")</f>
        <v>Low Discount</v>
      </c>
      <c r="K20" s="30" t="str">
        <f t="shared" si="2"/>
        <v/>
      </c>
    </row>
    <row r="21" spans="1:11" ht="15.75" x14ac:dyDescent="0.25">
      <c r="A21" t="s">
        <v>23</v>
      </c>
      <c r="B21" s="4">
        <v>998</v>
      </c>
      <c r="C21" s="4">
        <v>1966</v>
      </c>
      <c r="D21" s="1">
        <v>0.49</v>
      </c>
      <c r="E21">
        <v>4.5999999999999996</v>
      </c>
      <c r="F21">
        <v>44</v>
      </c>
      <c r="G21" s="4">
        <f t="shared" si="0"/>
        <v>968</v>
      </c>
      <c r="H21" t="str" cm="1">
        <f t="array" ref="H21">_xlfn.IFS(E21&lt;=3,"Below",E21&lt;=4.4,"Average",E21&gt;=4.4,"Excellent")</f>
        <v>Excellent</v>
      </c>
      <c r="I21" t="str">
        <f t="shared" si="1"/>
        <v>High Discount</v>
      </c>
      <c r="J21" t="str" cm="1">
        <f t="array" ref="J21">_xlfn.IFS(D21&lt;=20%, "Low Discount", D21&lt;=40%, "Medium Discounts", D21&gt;40%, "High Discounts")</f>
        <v>High Discounts</v>
      </c>
      <c r="K21" s="30" t="str">
        <f t="shared" si="2"/>
        <v/>
      </c>
    </row>
    <row r="22" spans="1:11" ht="15.75" x14ac:dyDescent="0.25">
      <c r="A22" t="s">
        <v>24</v>
      </c>
      <c r="B22" s="4">
        <v>38</v>
      </c>
      <c r="C22" s="4">
        <v>80</v>
      </c>
      <c r="D22" s="1">
        <v>0.53</v>
      </c>
      <c r="E22">
        <v>3.3</v>
      </c>
      <c r="F22">
        <v>13</v>
      </c>
      <c r="G22" s="4">
        <f t="shared" si="0"/>
        <v>42</v>
      </c>
      <c r="H22" t="str" cm="1">
        <f t="array" ref="H22">_xlfn.IFS(E22&lt;=3,"Below",E22&lt;=4.4,"Average",E22&gt;=4.4,"Excellent")</f>
        <v>Average</v>
      </c>
      <c r="I22" t="str">
        <f t="shared" si="1"/>
        <v>High Discount</v>
      </c>
      <c r="J22" t="str" cm="1">
        <f t="array" ref="J22">_xlfn.IFS(D22&lt;=20%, "Low Discount", D22&lt;=40%, "Medium Discounts", D22&gt;40%, "High Discounts")</f>
        <v>High Discounts</v>
      </c>
      <c r="K22" s="30" t="str">
        <f t="shared" si="2"/>
        <v>Least Expensive</v>
      </c>
    </row>
    <row r="23" spans="1:11" ht="15.75" x14ac:dyDescent="0.25">
      <c r="A23" t="s">
        <v>25</v>
      </c>
      <c r="B23" s="4">
        <v>1860</v>
      </c>
      <c r="C23" s="4">
        <v>3220</v>
      </c>
      <c r="D23" s="1">
        <v>0.42</v>
      </c>
      <c r="E23">
        <v>3.8889999999999998</v>
      </c>
      <c r="F23">
        <v>0</v>
      </c>
      <c r="G23" s="4">
        <f t="shared" si="0"/>
        <v>1360</v>
      </c>
      <c r="H23" t="str" cm="1">
        <f t="array" ref="H23">_xlfn.IFS(E23&lt;=3,"Below",E23&lt;=4.4,"Average",E23&gt;=4.4,"Excellent")</f>
        <v>Average</v>
      </c>
      <c r="I23" t="str">
        <f t="shared" si="1"/>
        <v>High Discount</v>
      </c>
      <c r="J23" t="str" cm="1">
        <f t="array" ref="J23">_xlfn.IFS(D23&lt;=20%, "Low Discount", D23&lt;=40%, "Medium Discounts", D23&gt;40%, "High Discounts")</f>
        <v>High Discounts</v>
      </c>
      <c r="K23" s="30" t="str">
        <f t="shared" si="2"/>
        <v/>
      </c>
    </row>
    <row r="24" spans="1:11" ht="15.75" x14ac:dyDescent="0.25">
      <c r="A24" t="s">
        <v>26</v>
      </c>
      <c r="B24" s="4">
        <v>880</v>
      </c>
      <c r="C24" s="4">
        <v>1350</v>
      </c>
      <c r="D24" s="1">
        <v>0.35</v>
      </c>
      <c r="E24">
        <v>4</v>
      </c>
      <c r="F24">
        <v>6</v>
      </c>
      <c r="G24" s="4">
        <f t="shared" si="0"/>
        <v>470</v>
      </c>
      <c r="H24" t="str" cm="1">
        <f t="array" ref="H24">_xlfn.IFS(E24&lt;=3,"Below",E24&lt;=4.4,"Average",E24&gt;=4.4,"Excellent")</f>
        <v>Average</v>
      </c>
      <c r="I24" t="str">
        <f t="shared" si="1"/>
        <v>Medium Discount</v>
      </c>
      <c r="J24" t="str" cm="1">
        <f t="array" ref="J24">_xlfn.IFS(D24&lt;=20%, "Low Discount", D24&lt;=40%, "Medium Discounts", D24&gt;40%, "High Discounts")</f>
        <v>Medium Discounts</v>
      </c>
      <c r="K24" s="30" t="str">
        <f t="shared" si="2"/>
        <v/>
      </c>
    </row>
    <row r="25" spans="1:11" ht="15.75" x14ac:dyDescent="0.25">
      <c r="A25" t="s">
        <v>27</v>
      </c>
      <c r="B25" s="4">
        <v>1650</v>
      </c>
      <c r="C25" s="4">
        <v>2150</v>
      </c>
      <c r="D25" s="1">
        <v>0.23</v>
      </c>
      <c r="E25">
        <v>4.4000000000000004</v>
      </c>
      <c r="F25">
        <v>14</v>
      </c>
      <c r="G25" s="4">
        <f t="shared" si="0"/>
        <v>500</v>
      </c>
      <c r="H25" t="str" cm="1">
        <f t="array" ref="H25">_xlfn.IFS(E25&lt;=3,"Below",E25&lt;=4.4,"Average",E25&gt;=4.4,"Excellent")</f>
        <v>Average</v>
      </c>
      <c r="I25" t="str">
        <f t="shared" si="1"/>
        <v>Medium Discount</v>
      </c>
      <c r="J25" t="str" cm="1">
        <f t="array" ref="J25">_xlfn.IFS(D25&lt;=20%, "Low Discount", D25&lt;=40%, "Medium Discounts", D25&gt;40%, "High Discounts")</f>
        <v>Medium Discounts</v>
      </c>
      <c r="K25" s="30" t="str">
        <f t="shared" si="2"/>
        <v/>
      </c>
    </row>
    <row r="26" spans="1:11" ht="15.75" x14ac:dyDescent="0.25">
      <c r="A26" t="s">
        <v>28</v>
      </c>
      <c r="B26" s="4">
        <v>2048</v>
      </c>
      <c r="C26" s="4">
        <v>4500</v>
      </c>
      <c r="D26" s="1">
        <v>0.54</v>
      </c>
      <c r="E26">
        <v>4.3</v>
      </c>
      <c r="F26">
        <v>7</v>
      </c>
      <c r="G26" s="4">
        <f t="shared" si="0"/>
        <v>2452</v>
      </c>
      <c r="H26" t="str" cm="1">
        <f t="array" ref="H26">_xlfn.IFS(E26&lt;=3,"Below",E26&lt;=4.4,"Average",E26&gt;=4.4,"Excellent")</f>
        <v>Average</v>
      </c>
      <c r="I26" t="str">
        <f t="shared" si="1"/>
        <v>High Discount</v>
      </c>
      <c r="J26" t="str" cm="1">
        <f t="array" ref="J26">_xlfn.IFS(D26&lt;=20%, "Low Discount", D26&lt;=40%, "Medium Discounts", D26&gt;40%, "High Discounts")</f>
        <v>High Discounts</v>
      </c>
      <c r="K26" s="30" t="str">
        <f t="shared" si="2"/>
        <v/>
      </c>
    </row>
    <row r="27" spans="1:11" ht="15.75" x14ac:dyDescent="0.25">
      <c r="A27" t="s">
        <v>29</v>
      </c>
      <c r="B27" s="4">
        <v>420</v>
      </c>
      <c r="C27" s="4">
        <v>647</v>
      </c>
      <c r="D27" s="1">
        <v>0.35</v>
      </c>
      <c r="E27">
        <v>4.5999999999999996</v>
      </c>
      <c r="F27">
        <v>49</v>
      </c>
      <c r="G27" s="4">
        <f t="shared" si="0"/>
        <v>227</v>
      </c>
      <c r="H27" t="str" cm="1">
        <f t="array" ref="H27">_xlfn.IFS(E27&lt;=3,"Below",E27&lt;=4.4,"Average",E27&gt;=4.4,"Excellent")</f>
        <v>Excellent</v>
      </c>
      <c r="I27" t="str">
        <f t="shared" si="1"/>
        <v>Medium Discount</v>
      </c>
      <c r="J27" t="str" cm="1">
        <f t="array" ref="J27">_xlfn.IFS(D27&lt;=20%, "Low Discount", D27&lt;=40%, "Medium Discounts", D27&gt;40%, "High Discounts")</f>
        <v>Medium Discounts</v>
      </c>
      <c r="K27" s="30" t="str">
        <f t="shared" si="2"/>
        <v/>
      </c>
    </row>
    <row r="28" spans="1:11" ht="15.75" x14ac:dyDescent="0.25">
      <c r="A28" t="s">
        <v>30</v>
      </c>
      <c r="B28" s="4">
        <v>2880</v>
      </c>
      <c r="C28" s="4">
        <v>3520</v>
      </c>
      <c r="D28" s="1">
        <v>0.18</v>
      </c>
      <c r="E28">
        <v>3.8</v>
      </c>
      <c r="F28">
        <v>12</v>
      </c>
      <c r="G28" s="4">
        <f t="shared" si="0"/>
        <v>640</v>
      </c>
      <c r="H28" t="str" cm="1">
        <f t="array" ref="H28">_xlfn.IFS(E28&lt;=3,"Below",E28&lt;=4.4,"Average",E28&gt;=4.4,"Excellent")</f>
        <v>Average</v>
      </c>
      <c r="I28" t="str">
        <f t="shared" si="1"/>
        <v>Low Discount</v>
      </c>
      <c r="J28" t="str" cm="1">
        <f t="array" ref="J28">_xlfn.IFS(D28&lt;=20%, "Low Discount", D28&lt;=40%, "Medium Discounts", D28&gt;40%, "High Discounts")</f>
        <v>Low Discount</v>
      </c>
      <c r="K28" s="30" t="str">
        <f t="shared" si="2"/>
        <v/>
      </c>
    </row>
    <row r="29" spans="1:11" ht="15.75" x14ac:dyDescent="0.25">
      <c r="A29" t="s">
        <v>31</v>
      </c>
      <c r="B29" s="4">
        <v>1350</v>
      </c>
      <c r="C29" s="4">
        <v>1990</v>
      </c>
      <c r="D29" s="1">
        <v>0.32</v>
      </c>
      <c r="E29">
        <v>3.8</v>
      </c>
      <c r="F29">
        <v>13</v>
      </c>
      <c r="G29" s="4">
        <f t="shared" si="0"/>
        <v>640</v>
      </c>
      <c r="H29" t="str" cm="1">
        <f t="array" ref="H29">_xlfn.IFS(E29&lt;=3,"Below",E29&lt;=4.4,"Average",E29&gt;=4.4,"Excellent")</f>
        <v>Average</v>
      </c>
      <c r="I29" t="str">
        <f t="shared" si="1"/>
        <v>Medium Discount</v>
      </c>
      <c r="J29" t="str" cm="1">
        <f t="array" ref="J29">_xlfn.IFS(D29&lt;=20%, "Low Discount", D29&lt;=40%, "Medium Discounts", D29&gt;40%, "High Discounts")</f>
        <v>Medium Discounts</v>
      </c>
      <c r="K29" s="30" t="str">
        <f t="shared" si="2"/>
        <v/>
      </c>
    </row>
    <row r="30" spans="1:11" ht="15.75" x14ac:dyDescent="0.25">
      <c r="A30" t="s">
        <v>32</v>
      </c>
      <c r="B30" s="4">
        <v>1758</v>
      </c>
      <c r="C30" s="4">
        <v>2499</v>
      </c>
      <c r="D30" s="1">
        <v>0.3</v>
      </c>
      <c r="E30">
        <v>4.0999999999999996</v>
      </c>
      <c r="F30">
        <v>20</v>
      </c>
      <c r="G30" s="4">
        <f t="shared" si="0"/>
        <v>741</v>
      </c>
      <c r="H30" t="str" cm="1">
        <f t="array" ref="H30">_xlfn.IFS(E30&lt;=3,"Below",E30&lt;=4.4,"Average",E30&gt;=4.4,"Excellent")</f>
        <v>Average</v>
      </c>
      <c r="I30" t="str">
        <f t="shared" si="1"/>
        <v>Medium Discount</v>
      </c>
      <c r="J30" t="str" cm="1">
        <f t="array" ref="J30">_xlfn.IFS(D30&lt;=20%, "Low Discount", D30&lt;=40%, "Medium Discounts", D30&gt;40%, "High Discounts")</f>
        <v>Medium Discounts</v>
      </c>
      <c r="K30" s="30" t="str">
        <f t="shared" si="2"/>
        <v/>
      </c>
    </row>
    <row r="31" spans="1:11" ht="15.75" x14ac:dyDescent="0.25">
      <c r="A31" t="s">
        <v>113</v>
      </c>
      <c r="B31" s="4">
        <v>2200</v>
      </c>
      <c r="C31" s="4">
        <v>4080</v>
      </c>
      <c r="D31" s="1">
        <v>0.46</v>
      </c>
      <c r="E31">
        <v>3.8889999999999998</v>
      </c>
      <c r="F31">
        <v>0</v>
      </c>
      <c r="G31" s="4">
        <f t="shared" si="0"/>
        <v>1880</v>
      </c>
      <c r="H31" t="str" cm="1">
        <f t="array" ref="H31">_xlfn.IFS(E31&lt;=3,"Below",E31&lt;=4.4,"Average",E31&gt;=4.4,"Excellent")</f>
        <v>Average</v>
      </c>
      <c r="I31" t="str">
        <f t="shared" si="1"/>
        <v>High Discount</v>
      </c>
      <c r="J31" t="str" cm="1">
        <f t="array" ref="J31">_xlfn.IFS(D31&lt;=20%, "Low Discount", D31&lt;=40%, "Medium Discounts", D31&gt;40%, "High Discounts")</f>
        <v>High Discounts</v>
      </c>
      <c r="K31" s="30" t="str">
        <f t="shared" si="2"/>
        <v/>
      </c>
    </row>
    <row r="32" spans="1:11" ht="15.75" x14ac:dyDescent="0.25">
      <c r="A32" t="s">
        <v>33</v>
      </c>
      <c r="B32" s="4">
        <v>185</v>
      </c>
      <c r="C32" s="4">
        <v>382</v>
      </c>
      <c r="D32" s="1">
        <v>0.52</v>
      </c>
      <c r="E32">
        <v>4.3</v>
      </c>
      <c r="F32">
        <v>9</v>
      </c>
      <c r="G32" s="4">
        <f t="shared" si="0"/>
        <v>197</v>
      </c>
      <c r="H32" t="str" cm="1">
        <f t="array" ref="H32">_xlfn.IFS(E32&lt;=3,"Below",E32&lt;=4.4,"Average",E32&gt;=4.4,"Excellent")</f>
        <v>Average</v>
      </c>
      <c r="I32" t="str">
        <f t="shared" si="1"/>
        <v>High Discount</v>
      </c>
      <c r="J32" t="str" cm="1">
        <f t="array" ref="J32">_xlfn.IFS(D32&lt;=20%, "Low Discount", D32&lt;=40%, "Medium Discounts", D32&gt;40%, "High Discounts")</f>
        <v>High Discounts</v>
      </c>
      <c r="K32" s="30" t="str">
        <f t="shared" si="2"/>
        <v/>
      </c>
    </row>
    <row r="33" spans="1:11" ht="15.75" x14ac:dyDescent="0.25">
      <c r="A33" t="s">
        <v>34</v>
      </c>
      <c r="B33" s="4">
        <v>980</v>
      </c>
      <c r="C33" s="4">
        <v>1490</v>
      </c>
      <c r="D33" s="1">
        <v>0.34</v>
      </c>
      <c r="E33">
        <v>4.7</v>
      </c>
      <c r="F33">
        <v>12</v>
      </c>
      <c r="G33" s="4">
        <f t="shared" si="0"/>
        <v>510</v>
      </c>
      <c r="H33" t="str" cm="1">
        <f t="array" ref="H33">_xlfn.IFS(E33&lt;=3,"Below",E33&lt;=4.4,"Average",E33&gt;=4.4,"Excellent")</f>
        <v>Excellent</v>
      </c>
      <c r="I33" t="str">
        <f t="shared" si="1"/>
        <v>Medium Discount</v>
      </c>
      <c r="J33" t="str" cm="1">
        <f t="array" ref="J33">_xlfn.IFS(D33&lt;=20%, "Low Discount", D33&lt;=40%, "Medium Discounts", D33&gt;40%, "High Discounts")</f>
        <v>Medium Discounts</v>
      </c>
      <c r="K33" s="30" t="str">
        <f t="shared" si="2"/>
        <v/>
      </c>
    </row>
    <row r="34" spans="1:11" ht="15.75" x14ac:dyDescent="0.25">
      <c r="A34" t="s">
        <v>35</v>
      </c>
      <c r="B34" s="4">
        <v>1820</v>
      </c>
      <c r="C34" s="4">
        <v>3490</v>
      </c>
      <c r="D34" s="1">
        <v>0.48</v>
      </c>
      <c r="E34">
        <v>4.3</v>
      </c>
      <c r="F34">
        <v>9</v>
      </c>
      <c r="G34" s="4">
        <f t="shared" ref="G34:G65" si="3">C34-B34</f>
        <v>1670</v>
      </c>
      <c r="H34" t="str" cm="1">
        <f t="array" ref="H34">_xlfn.IFS(E34&lt;=3,"Below",E34&lt;=4.4,"Average",E34&gt;=4.4,"Excellent")</f>
        <v>Average</v>
      </c>
      <c r="I34" t="str">
        <f t="shared" ref="I34:I65" si="4">IF(D34&lt;=20%,"Low Discount",IF(D34&lt;=40%,"Medium Discount",IF(D34&gt;=40%,"High Discount")))</f>
        <v>High Discount</v>
      </c>
      <c r="J34" t="str" cm="1">
        <f t="array" ref="J34">_xlfn.IFS(D34&lt;=20%, "Low Discount", D34&lt;=40%, "Medium Discounts", D34&gt;40%, "High Discounts")</f>
        <v>High Discounts</v>
      </c>
      <c r="K34" s="30" t="str">
        <f t="shared" ref="K34:K65" si="5">IF(B34=MAX($B$2:$B$110),"Most Expensive",IF(B34=MIN($B$2:$B$110),"Least Expensive",""))</f>
        <v/>
      </c>
    </row>
    <row r="35" spans="1:11" ht="15.75" x14ac:dyDescent="0.25">
      <c r="A35" t="s">
        <v>36</v>
      </c>
      <c r="B35" s="4">
        <v>1940</v>
      </c>
      <c r="C35" s="4">
        <v>2650</v>
      </c>
      <c r="D35" s="1">
        <v>0.27</v>
      </c>
      <c r="E35">
        <v>4.7</v>
      </c>
      <c r="F35">
        <v>20</v>
      </c>
      <c r="G35" s="4">
        <f t="shared" si="3"/>
        <v>710</v>
      </c>
      <c r="H35" t="str" cm="1">
        <f t="array" ref="H35">_xlfn.IFS(E35&lt;=3,"Below",E35&lt;=4.4,"Average",E35&gt;=4.4,"Excellent")</f>
        <v>Excellent</v>
      </c>
      <c r="I35" t="str">
        <f t="shared" si="4"/>
        <v>Medium Discount</v>
      </c>
      <c r="J35" t="str" cm="1">
        <f t="array" ref="J35">_xlfn.IFS(D35&lt;=20%, "Low Discount", D35&lt;=40%, "Medium Discounts", D35&gt;40%, "High Discounts")</f>
        <v>Medium Discounts</v>
      </c>
      <c r="K35" s="30" t="str">
        <f t="shared" si="5"/>
        <v/>
      </c>
    </row>
    <row r="36" spans="1:11" ht="15.75" x14ac:dyDescent="0.25">
      <c r="A36" t="s">
        <v>37</v>
      </c>
      <c r="B36" s="4">
        <v>1980</v>
      </c>
      <c r="C36" s="4">
        <v>2699</v>
      </c>
      <c r="D36" s="1">
        <v>0.27</v>
      </c>
      <c r="E36">
        <v>4.5</v>
      </c>
      <c r="F36">
        <v>32</v>
      </c>
      <c r="G36" s="4">
        <f t="shared" si="3"/>
        <v>719</v>
      </c>
      <c r="H36" t="str" cm="1">
        <f t="array" ref="H36">_xlfn.IFS(E36&lt;=3,"Below",E36&lt;=4.4,"Average",E36&gt;=4.4,"Excellent")</f>
        <v>Excellent</v>
      </c>
      <c r="I36" t="str">
        <f t="shared" si="4"/>
        <v>Medium Discount</v>
      </c>
      <c r="J36" t="str" cm="1">
        <f t="array" ref="J36">_xlfn.IFS(D36&lt;=20%, "Low Discount", D36&lt;=40%, "Medium Discounts", D36&gt;40%, "High Discounts")</f>
        <v>Medium Discounts</v>
      </c>
      <c r="K36" s="30" t="str">
        <f t="shared" si="5"/>
        <v/>
      </c>
    </row>
    <row r="37" spans="1:11" ht="15.75" x14ac:dyDescent="0.25">
      <c r="A37" t="s">
        <v>38</v>
      </c>
      <c r="B37" s="4">
        <v>1620</v>
      </c>
      <c r="C37" s="4">
        <v>2690</v>
      </c>
      <c r="D37" s="1">
        <v>0.4</v>
      </c>
      <c r="E37">
        <v>5</v>
      </c>
      <c r="F37">
        <v>1</v>
      </c>
      <c r="G37" s="4">
        <f t="shared" si="3"/>
        <v>1070</v>
      </c>
      <c r="H37" t="str" cm="1">
        <f t="array" ref="H37">_xlfn.IFS(E37&lt;=3,"Below",E37&lt;=4.4,"Average",E37&gt;=4.4,"Excellent")</f>
        <v>Excellent</v>
      </c>
      <c r="I37" t="str">
        <f t="shared" si="4"/>
        <v>Medium Discount</v>
      </c>
      <c r="J37" t="str" cm="1">
        <f t="array" ref="J37">_xlfn.IFS(D37&lt;=20%, "Low Discount", D37&lt;=40%, "Medium Discounts", D37&gt;40%, "High Discounts")</f>
        <v>Medium Discounts</v>
      </c>
      <c r="K37" s="30" t="str">
        <f t="shared" si="5"/>
        <v/>
      </c>
    </row>
    <row r="38" spans="1:11" ht="15.75" x14ac:dyDescent="0.25">
      <c r="A38" t="s">
        <v>39</v>
      </c>
      <c r="B38" s="4">
        <v>171</v>
      </c>
      <c r="C38" s="4">
        <v>360</v>
      </c>
      <c r="D38" s="1">
        <v>0.53</v>
      </c>
      <c r="E38">
        <v>5</v>
      </c>
      <c r="F38">
        <v>2</v>
      </c>
      <c r="G38" s="4">
        <f t="shared" si="3"/>
        <v>189</v>
      </c>
      <c r="H38" t="str" cm="1">
        <f t="array" ref="H38">_xlfn.IFS(E38&lt;=3,"Below",E38&lt;=4.4,"Average",E38&gt;=4.4,"Excellent")</f>
        <v>Excellent</v>
      </c>
      <c r="I38" t="str">
        <f t="shared" si="4"/>
        <v>High Discount</v>
      </c>
      <c r="J38" t="str" cm="1">
        <f t="array" ref="J38">_xlfn.IFS(D38&lt;=20%, "Low Discount", D38&lt;=40%, "Medium Discounts", D38&gt;40%, "High Discounts")</f>
        <v>High Discounts</v>
      </c>
      <c r="K38" s="30" t="str">
        <f t="shared" si="5"/>
        <v/>
      </c>
    </row>
    <row r="39" spans="1:11" ht="15.75" x14ac:dyDescent="0.25">
      <c r="A39" t="s">
        <v>40</v>
      </c>
      <c r="B39" s="4">
        <v>389</v>
      </c>
      <c r="C39" s="4">
        <v>656</v>
      </c>
      <c r="D39" s="1">
        <v>0.41</v>
      </c>
      <c r="E39">
        <v>4.3</v>
      </c>
      <c r="F39">
        <v>36</v>
      </c>
      <c r="G39" s="4">
        <f t="shared" si="3"/>
        <v>267</v>
      </c>
      <c r="H39" t="str" cm="1">
        <f t="array" ref="H39">_xlfn.IFS(E39&lt;=3,"Below",E39&lt;=4.4,"Average",E39&gt;=4.4,"Excellent")</f>
        <v>Average</v>
      </c>
      <c r="I39" t="str">
        <f t="shared" si="4"/>
        <v>High Discount</v>
      </c>
      <c r="J39" t="str" cm="1">
        <f t="array" ref="J39">_xlfn.IFS(D39&lt;=20%, "Low Discount", D39&lt;=40%, "Medium Discounts", D39&gt;40%, "High Discounts")</f>
        <v>High Discounts</v>
      </c>
      <c r="K39" s="30" t="str">
        <f t="shared" si="5"/>
        <v/>
      </c>
    </row>
    <row r="40" spans="1:11" ht="15.75" x14ac:dyDescent="0.25">
      <c r="A40" t="s">
        <v>41</v>
      </c>
      <c r="B40" s="4">
        <v>1800</v>
      </c>
      <c r="C40" s="4">
        <v>2700</v>
      </c>
      <c r="D40" s="1">
        <v>0.38</v>
      </c>
      <c r="E40">
        <v>4.5</v>
      </c>
      <c r="F40">
        <v>2</v>
      </c>
      <c r="G40" s="4">
        <f t="shared" si="3"/>
        <v>900</v>
      </c>
      <c r="H40" t="str" cm="1">
        <f t="array" ref="H40">_xlfn.IFS(E40&lt;=3,"Below",E40&lt;=4.4,"Average",E40&gt;=4.4,"Excellent")</f>
        <v>Excellent</v>
      </c>
      <c r="I40" t="str">
        <f t="shared" si="4"/>
        <v>Medium Discount</v>
      </c>
      <c r="J40" t="str" cm="1">
        <f t="array" ref="J40">_xlfn.IFS(D40&lt;=20%, "Low Discount", D40&lt;=40%, "Medium Discounts", D40&gt;40%, "High Discounts")</f>
        <v>Medium Discounts</v>
      </c>
      <c r="K40" s="30" t="str">
        <f t="shared" si="5"/>
        <v/>
      </c>
    </row>
    <row r="41" spans="1:11" ht="15.75" x14ac:dyDescent="0.25">
      <c r="A41" t="s">
        <v>42</v>
      </c>
      <c r="B41" s="4">
        <v>2750</v>
      </c>
      <c r="C41" s="4">
        <v>4471</v>
      </c>
      <c r="D41" s="1">
        <v>0.38</v>
      </c>
      <c r="E41">
        <v>3.8889999999999998</v>
      </c>
      <c r="F41">
        <v>0</v>
      </c>
      <c r="G41" s="4">
        <f t="shared" si="3"/>
        <v>1721</v>
      </c>
      <c r="H41" t="str" cm="1">
        <f t="array" ref="H41">_xlfn.IFS(E41&lt;=3,"Below",E41&lt;=4.4,"Average",E41&gt;=4.4,"Excellent")</f>
        <v>Average</v>
      </c>
      <c r="I41" t="str">
        <f t="shared" si="4"/>
        <v>Medium Discount</v>
      </c>
      <c r="J41" t="str" cm="1">
        <f t="array" ref="J41">_xlfn.IFS(D41&lt;=20%, "Low Discount", D41&lt;=40%, "Medium Discounts", D41&gt;40%, "High Discounts")</f>
        <v>Medium Discounts</v>
      </c>
      <c r="K41" s="30" t="str">
        <f t="shared" si="5"/>
        <v/>
      </c>
    </row>
    <row r="42" spans="1:11" ht="15.75" x14ac:dyDescent="0.25">
      <c r="A42" t="s">
        <v>43</v>
      </c>
      <c r="B42" s="4">
        <v>475</v>
      </c>
      <c r="C42" s="4">
        <v>931</v>
      </c>
      <c r="D42" s="1">
        <v>0.49</v>
      </c>
      <c r="E42">
        <v>3.8889999999999998</v>
      </c>
      <c r="F42">
        <v>0</v>
      </c>
      <c r="G42" s="4">
        <f t="shared" si="3"/>
        <v>456</v>
      </c>
      <c r="H42" t="str" cm="1">
        <f t="array" ref="H42">_xlfn.IFS(E42&lt;=3,"Below",E42&lt;=4.4,"Average",E42&gt;=4.4,"Excellent")</f>
        <v>Average</v>
      </c>
      <c r="I42" t="str">
        <f t="shared" si="4"/>
        <v>High Discount</v>
      </c>
      <c r="J42" t="str" cm="1">
        <f t="array" ref="J42">_xlfn.IFS(D42&lt;=20%, "Low Discount", D42&lt;=40%, "Medium Discounts", D42&gt;40%, "High Discounts")</f>
        <v>High Discounts</v>
      </c>
      <c r="K42" s="30" t="str">
        <f t="shared" si="5"/>
        <v/>
      </c>
    </row>
    <row r="43" spans="1:11" ht="15.75" x14ac:dyDescent="0.25">
      <c r="A43" t="s">
        <v>44</v>
      </c>
      <c r="B43" s="4">
        <v>238</v>
      </c>
      <c r="C43" s="4">
        <v>476</v>
      </c>
      <c r="D43" s="1">
        <v>0.5</v>
      </c>
      <c r="E43">
        <v>3.8889999999999998</v>
      </c>
      <c r="F43">
        <v>0</v>
      </c>
      <c r="G43" s="4">
        <f t="shared" si="3"/>
        <v>238</v>
      </c>
      <c r="H43" t="str" cm="1">
        <f t="array" ref="H43">_xlfn.IFS(E43&lt;=3,"Below",E43&lt;=4.4,"Average",E43&gt;=4.4,"Excellent")</f>
        <v>Average</v>
      </c>
      <c r="I43" t="str">
        <f t="shared" si="4"/>
        <v>High Discount</v>
      </c>
      <c r="J43" t="str" cm="1">
        <f t="array" ref="J43">_xlfn.IFS(D43&lt;=20%, "Low Discount", D43&lt;=40%, "Medium Discounts", D43&gt;40%, "High Discounts")</f>
        <v>High Discounts</v>
      </c>
      <c r="K43" s="30" t="str">
        <f t="shared" si="5"/>
        <v/>
      </c>
    </row>
    <row r="44" spans="1:11" ht="15.75" x14ac:dyDescent="0.25">
      <c r="A44" t="s">
        <v>45</v>
      </c>
      <c r="B44" s="4">
        <v>610</v>
      </c>
      <c r="C44" s="4">
        <v>1060</v>
      </c>
      <c r="D44" s="1">
        <v>0.42</v>
      </c>
      <c r="E44">
        <v>3.8889999999999998</v>
      </c>
      <c r="F44">
        <v>0</v>
      </c>
      <c r="G44" s="4">
        <f t="shared" si="3"/>
        <v>450</v>
      </c>
      <c r="H44" t="str" cm="1">
        <f t="array" ref="H44">_xlfn.IFS(E44&lt;=3,"Below",E44&lt;=4.4,"Average",E44&gt;=4.4,"Excellent")</f>
        <v>Average</v>
      </c>
      <c r="I44" t="str">
        <f t="shared" si="4"/>
        <v>High Discount</v>
      </c>
      <c r="J44" t="str" cm="1">
        <f t="array" ref="J44">_xlfn.IFS(D44&lt;=20%, "Low Discount", D44&lt;=40%, "Medium Discounts", D44&gt;40%, "High Discounts")</f>
        <v>High Discounts</v>
      </c>
      <c r="K44" s="30" t="str">
        <f t="shared" si="5"/>
        <v/>
      </c>
    </row>
    <row r="45" spans="1:11" ht="15.75" x14ac:dyDescent="0.25">
      <c r="A45" t="s">
        <v>46</v>
      </c>
      <c r="B45" s="4">
        <v>2132</v>
      </c>
      <c r="C45" s="4">
        <v>2169</v>
      </c>
      <c r="D45" s="1">
        <v>0.02</v>
      </c>
      <c r="E45">
        <v>3.8889999999999998</v>
      </c>
      <c r="F45">
        <v>0</v>
      </c>
      <c r="G45" s="4">
        <f t="shared" si="3"/>
        <v>37</v>
      </c>
      <c r="H45" t="str" cm="1">
        <f t="array" ref="H45">_xlfn.IFS(E45&lt;=3,"Below",E45&lt;=4.4,"Average",E45&gt;=4.4,"Excellent")</f>
        <v>Average</v>
      </c>
      <c r="I45" t="str">
        <f t="shared" si="4"/>
        <v>Low Discount</v>
      </c>
      <c r="J45" t="str" cm="1">
        <f t="array" ref="J45">_xlfn.IFS(D45&lt;=20%, "Low Discount", D45&lt;=40%, "Medium Discounts", D45&gt;40%, "High Discounts")</f>
        <v>Low Discount</v>
      </c>
      <c r="K45" s="30" t="str">
        <f t="shared" si="5"/>
        <v/>
      </c>
    </row>
    <row r="46" spans="1:11" ht="15.75" x14ac:dyDescent="0.25">
      <c r="A46" t="s">
        <v>47</v>
      </c>
      <c r="B46" s="4">
        <v>999</v>
      </c>
      <c r="C46" s="4">
        <v>2000</v>
      </c>
      <c r="D46" s="1">
        <v>0.5</v>
      </c>
      <c r="E46">
        <v>3.8889999999999998</v>
      </c>
      <c r="F46">
        <v>0</v>
      </c>
      <c r="G46" s="4">
        <f t="shared" si="3"/>
        <v>1001</v>
      </c>
      <c r="H46" t="str" cm="1">
        <f t="array" ref="H46">_xlfn.IFS(E46&lt;=3,"Below",E46&lt;=4.4,"Average",E46&gt;=4.4,"Excellent")</f>
        <v>Average</v>
      </c>
      <c r="I46" t="str">
        <f t="shared" si="4"/>
        <v>High Discount</v>
      </c>
      <c r="J46" t="str" cm="1">
        <f t="array" ref="J46">_xlfn.IFS(D46&lt;=20%, "Low Discount", D46&lt;=40%, "Medium Discounts", D46&gt;40%, "High Discounts")</f>
        <v>High Discounts</v>
      </c>
      <c r="K46" s="30" t="str">
        <f t="shared" si="5"/>
        <v/>
      </c>
    </row>
    <row r="47" spans="1:11" ht="15.75" x14ac:dyDescent="0.25">
      <c r="A47" t="s">
        <v>48</v>
      </c>
      <c r="B47" s="4">
        <v>1190</v>
      </c>
      <c r="C47" s="4">
        <v>1785</v>
      </c>
      <c r="D47" s="1">
        <v>0.33</v>
      </c>
      <c r="E47">
        <v>3.8889999999999998</v>
      </c>
      <c r="F47">
        <v>0</v>
      </c>
      <c r="G47" s="4">
        <f t="shared" si="3"/>
        <v>595</v>
      </c>
      <c r="H47" t="str" cm="1">
        <f t="array" ref="H47">_xlfn.IFS(E47&lt;=3,"Below",E47&lt;=4.4,"Average",E47&gt;=4.4,"Excellent")</f>
        <v>Average</v>
      </c>
      <c r="I47" t="str">
        <f t="shared" si="4"/>
        <v>Medium Discount</v>
      </c>
      <c r="J47" t="str" cm="1">
        <f t="array" ref="J47">_xlfn.IFS(D47&lt;=20%, "Low Discount", D47&lt;=40%, "Medium Discounts", D47&gt;40%, "High Discounts")</f>
        <v>Medium Discounts</v>
      </c>
      <c r="K47" s="30" t="str">
        <f t="shared" si="5"/>
        <v/>
      </c>
    </row>
    <row r="48" spans="1:11" ht="15.75" x14ac:dyDescent="0.25">
      <c r="A48" t="s">
        <v>49</v>
      </c>
      <c r="B48" s="4">
        <v>671</v>
      </c>
      <c r="C48" s="4">
        <v>1316</v>
      </c>
      <c r="D48" s="1">
        <v>0.49</v>
      </c>
      <c r="E48">
        <v>3.8889999999999998</v>
      </c>
      <c r="F48">
        <v>0</v>
      </c>
      <c r="G48" s="4">
        <f t="shared" si="3"/>
        <v>645</v>
      </c>
      <c r="H48" t="str" cm="1">
        <f t="array" ref="H48">_xlfn.IFS(E48&lt;=3,"Below",E48&lt;=4.4,"Average",E48&gt;=4.4,"Excellent")</f>
        <v>Average</v>
      </c>
      <c r="I48" t="str">
        <f t="shared" si="4"/>
        <v>High Discount</v>
      </c>
      <c r="J48" t="str" cm="1">
        <f t="array" ref="J48">_xlfn.IFS(D48&lt;=20%, "Low Discount", D48&lt;=40%, "Medium Discounts", D48&gt;40%, "High Discounts")</f>
        <v>High Discounts</v>
      </c>
      <c r="K48" s="30" t="str">
        <f t="shared" si="5"/>
        <v/>
      </c>
    </row>
    <row r="49" spans="1:11" ht="15.75" x14ac:dyDescent="0.25">
      <c r="A49" t="s">
        <v>50</v>
      </c>
      <c r="B49" s="4">
        <v>1200</v>
      </c>
      <c r="C49" s="4">
        <v>1950</v>
      </c>
      <c r="D49" s="1">
        <v>0.38</v>
      </c>
      <c r="E49">
        <v>3.8889999999999998</v>
      </c>
      <c r="F49">
        <v>0</v>
      </c>
      <c r="G49" s="4">
        <f t="shared" si="3"/>
        <v>750</v>
      </c>
      <c r="H49" t="str" cm="1">
        <f t="array" ref="H49">_xlfn.IFS(E49&lt;=3,"Below",E49&lt;=4.4,"Average",E49&gt;=4.4,"Excellent")</f>
        <v>Average</v>
      </c>
      <c r="I49" t="str">
        <f t="shared" si="4"/>
        <v>Medium Discount</v>
      </c>
      <c r="J49" t="str" cm="1">
        <f t="array" ref="J49">_xlfn.IFS(D49&lt;=20%, "Low Discount", D49&lt;=40%, "Medium Discounts", D49&gt;40%, "High Discounts")</f>
        <v>Medium Discounts</v>
      </c>
      <c r="K49" s="30" t="str">
        <f t="shared" si="5"/>
        <v/>
      </c>
    </row>
    <row r="50" spans="1:11" ht="15.75" x14ac:dyDescent="0.25">
      <c r="A50" t="s">
        <v>51</v>
      </c>
      <c r="B50" s="4">
        <v>199</v>
      </c>
      <c r="C50" s="4">
        <v>504</v>
      </c>
      <c r="D50" s="1">
        <v>0.61</v>
      </c>
      <c r="E50">
        <v>3.8889999999999998</v>
      </c>
      <c r="F50">
        <v>0</v>
      </c>
      <c r="G50" s="4">
        <f t="shared" si="3"/>
        <v>305</v>
      </c>
      <c r="H50" t="str" cm="1">
        <f t="array" ref="H50">_xlfn.IFS(E50&lt;=3,"Below",E50&lt;=4.4,"Average",E50&gt;=4.4,"Excellent")</f>
        <v>Average</v>
      </c>
      <c r="I50" t="str">
        <f t="shared" si="4"/>
        <v>High Discount</v>
      </c>
      <c r="J50" t="str" cm="1">
        <f t="array" ref="J50">_xlfn.IFS(D50&lt;=20%, "Low Discount", D50&lt;=40%, "Medium Discounts", D50&gt;40%, "High Discounts")</f>
        <v>High Discounts</v>
      </c>
      <c r="K50" s="30" t="str">
        <f t="shared" si="5"/>
        <v/>
      </c>
    </row>
    <row r="51" spans="1:11" ht="15.75" x14ac:dyDescent="0.25">
      <c r="A51" t="s">
        <v>52</v>
      </c>
      <c r="B51" s="4">
        <v>299</v>
      </c>
      <c r="C51" s="4">
        <v>600</v>
      </c>
      <c r="D51" s="1">
        <v>0.5</v>
      </c>
      <c r="E51">
        <v>3.8889999999999998</v>
      </c>
      <c r="F51">
        <v>0</v>
      </c>
      <c r="G51" s="4">
        <f t="shared" si="3"/>
        <v>301</v>
      </c>
      <c r="H51" t="str" cm="1">
        <f t="array" ref="H51">_xlfn.IFS(E51&lt;=3,"Below",E51&lt;=4.4,"Average",E51&gt;=4.4,"Excellent")</f>
        <v>Average</v>
      </c>
      <c r="I51" t="str">
        <f t="shared" si="4"/>
        <v>High Discount</v>
      </c>
      <c r="J51" t="str" cm="1">
        <f t="array" ref="J51">_xlfn.IFS(D51&lt;=20%, "Low Discount", D51&lt;=40%, "Medium Discounts", D51&gt;40%, "High Discounts")</f>
        <v>High Discounts</v>
      </c>
      <c r="K51" s="30" t="str">
        <f t="shared" si="5"/>
        <v/>
      </c>
    </row>
    <row r="52" spans="1:11" ht="15.75" x14ac:dyDescent="0.25">
      <c r="A52" t="s">
        <v>53</v>
      </c>
      <c r="B52" s="4">
        <v>1660</v>
      </c>
      <c r="C52" s="4">
        <v>1699</v>
      </c>
      <c r="D52" s="1">
        <v>0.02</v>
      </c>
      <c r="E52">
        <v>3.8889999999999998</v>
      </c>
      <c r="F52">
        <v>0</v>
      </c>
      <c r="G52" s="4">
        <f t="shared" si="3"/>
        <v>39</v>
      </c>
      <c r="H52" t="str" cm="1">
        <f t="array" ref="H52">_xlfn.IFS(E52&lt;=3,"Below",E52&lt;=4.4,"Average",E52&gt;=4.4,"Excellent")</f>
        <v>Average</v>
      </c>
      <c r="I52" t="str">
        <f t="shared" si="4"/>
        <v>Low Discount</v>
      </c>
      <c r="J52" t="str" cm="1">
        <f t="array" ref="J52">_xlfn.IFS(D52&lt;=20%, "Low Discount", D52&lt;=40%, "Medium Discounts", D52&gt;40%, "High Discounts")</f>
        <v>Low Discount</v>
      </c>
      <c r="K52" s="30" t="str">
        <f t="shared" si="5"/>
        <v/>
      </c>
    </row>
    <row r="53" spans="1:11" ht="15.75" x14ac:dyDescent="0.25">
      <c r="A53" t="s">
        <v>54</v>
      </c>
      <c r="B53" s="4">
        <v>299</v>
      </c>
      <c r="C53" s="4">
        <v>384</v>
      </c>
      <c r="D53" s="1">
        <v>0.22</v>
      </c>
      <c r="E53">
        <v>3.8889999999999998</v>
      </c>
      <c r="F53">
        <v>0</v>
      </c>
      <c r="G53" s="4">
        <f t="shared" si="3"/>
        <v>85</v>
      </c>
      <c r="H53" t="str" cm="1">
        <f t="array" ref="H53">_xlfn.IFS(E53&lt;=3,"Below",E53&lt;=4.4,"Average",E53&gt;=4.4,"Excellent")</f>
        <v>Average</v>
      </c>
      <c r="I53" t="str">
        <f t="shared" si="4"/>
        <v>Medium Discount</v>
      </c>
      <c r="J53" t="str" cm="1">
        <f t="array" ref="J53">_xlfn.IFS(D53&lt;=20%, "Low Discount", D53&lt;=40%, "Medium Discounts", D53&gt;40%, "High Discounts")</f>
        <v>Medium Discounts</v>
      </c>
      <c r="K53" s="30" t="str">
        <f t="shared" si="5"/>
        <v/>
      </c>
    </row>
    <row r="54" spans="1:11" ht="15.75" x14ac:dyDescent="0.25">
      <c r="A54" t="s">
        <v>55</v>
      </c>
      <c r="B54" s="4">
        <v>1459</v>
      </c>
      <c r="C54" s="4">
        <v>1499</v>
      </c>
      <c r="D54" s="1">
        <v>0.03</v>
      </c>
      <c r="E54">
        <v>3.8889999999999998</v>
      </c>
      <c r="F54">
        <v>0</v>
      </c>
      <c r="G54" s="4">
        <f t="shared" si="3"/>
        <v>40</v>
      </c>
      <c r="H54" t="str" cm="1">
        <f t="array" ref="H54">_xlfn.IFS(E54&lt;=3,"Below",E54&lt;=4.4,"Average",E54&gt;=4.4,"Excellent")</f>
        <v>Average</v>
      </c>
      <c r="I54" t="str">
        <f t="shared" si="4"/>
        <v>Low Discount</v>
      </c>
      <c r="J54" t="str" cm="1">
        <f t="array" ref="J54">_xlfn.IFS(D54&lt;=20%, "Low Discount", D54&lt;=40%, "Medium Discounts", D54&gt;40%, "High Discounts")</f>
        <v>Low Discount</v>
      </c>
      <c r="K54" s="30" t="str">
        <f t="shared" si="5"/>
        <v/>
      </c>
    </row>
    <row r="55" spans="1:11" ht="15.75" x14ac:dyDescent="0.25">
      <c r="A55" t="s">
        <v>56</v>
      </c>
      <c r="B55" s="4">
        <v>799</v>
      </c>
      <c r="C55" s="4">
        <v>1343</v>
      </c>
      <c r="D55" s="1">
        <v>0.41</v>
      </c>
      <c r="E55">
        <v>3.8889999999999998</v>
      </c>
      <c r="F55">
        <v>0</v>
      </c>
      <c r="G55" s="4">
        <f t="shared" si="3"/>
        <v>544</v>
      </c>
      <c r="H55" t="str" cm="1">
        <f t="array" ref="H55">_xlfn.IFS(E55&lt;=3,"Below",E55&lt;=4.4,"Average",E55&gt;=4.4,"Excellent")</f>
        <v>Average</v>
      </c>
      <c r="I55" t="str">
        <f t="shared" si="4"/>
        <v>High Discount</v>
      </c>
      <c r="J55" t="str" cm="1">
        <f t="array" ref="J55">_xlfn.IFS(D55&lt;=20%, "Low Discount", D55&lt;=40%, "Medium Discounts", D55&gt;40%, "High Discounts")</f>
        <v>High Discounts</v>
      </c>
      <c r="K55" s="30" t="str">
        <f t="shared" si="5"/>
        <v/>
      </c>
    </row>
    <row r="56" spans="1:11" ht="15.75" x14ac:dyDescent="0.25">
      <c r="A56" t="s">
        <v>57</v>
      </c>
      <c r="B56" s="4">
        <v>499</v>
      </c>
      <c r="C56" s="4">
        <v>900</v>
      </c>
      <c r="D56" s="1">
        <v>0.45</v>
      </c>
      <c r="E56">
        <v>3.8889999999999998</v>
      </c>
      <c r="F56">
        <v>0</v>
      </c>
      <c r="G56" s="4">
        <f t="shared" si="3"/>
        <v>401</v>
      </c>
      <c r="H56" t="str" cm="1">
        <f t="array" ref="H56">_xlfn.IFS(E56&lt;=3,"Below",E56&lt;=4.4,"Average",E56&gt;=4.4,"Excellent")</f>
        <v>Average</v>
      </c>
      <c r="I56" t="str">
        <f t="shared" si="4"/>
        <v>High Discount</v>
      </c>
      <c r="J56" t="str" cm="1">
        <f t="array" ref="J56">_xlfn.IFS(D56&lt;=20%, "Low Discount", D56&lt;=40%, "Medium Discounts", D56&gt;40%, "High Discounts")</f>
        <v>High Discounts</v>
      </c>
      <c r="K56" s="30" t="str">
        <f t="shared" si="5"/>
        <v/>
      </c>
    </row>
    <row r="57" spans="1:11" ht="15.75" x14ac:dyDescent="0.25">
      <c r="A57" t="s">
        <v>58</v>
      </c>
      <c r="B57" s="4">
        <v>699</v>
      </c>
      <c r="C57" s="4">
        <v>1343</v>
      </c>
      <c r="D57" s="1">
        <v>0.48</v>
      </c>
      <c r="E57">
        <v>3.8889999999999998</v>
      </c>
      <c r="F57">
        <v>0</v>
      </c>
      <c r="G57" s="4">
        <f t="shared" si="3"/>
        <v>644</v>
      </c>
      <c r="H57" t="str" cm="1">
        <f t="array" ref="H57">_xlfn.IFS(E57&lt;=3,"Below",E57&lt;=4.4,"Average",E57&gt;=4.4,"Excellent")</f>
        <v>Average</v>
      </c>
      <c r="I57" t="str">
        <f t="shared" si="4"/>
        <v>High Discount</v>
      </c>
      <c r="J57" t="str" cm="1">
        <f t="array" ref="J57">_xlfn.IFS(D57&lt;=20%, "Low Discount", D57&lt;=40%, "Medium Discounts", D57&gt;40%, "High Discounts")</f>
        <v>High Discounts</v>
      </c>
      <c r="K57" s="30" t="str">
        <f t="shared" si="5"/>
        <v/>
      </c>
    </row>
    <row r="58" spans="1:11" ht="15.75" x14ac:dyDescent="0.25">
      <c r="A58" t="s">
        <v>59</v>
      </c>
      <c r="B58" s="4">
        <v>799</v>
      </c>
      <c r="C58" s="4">
        <v>1567</v>
      </c>
      <c r="D58" s="1">
        <v>0.49</v>
      </c>
      <c r="E58">
        <v>3.8889999999999998</v>
      </c>
      <c r="F58">
        <v>0</v>
      </c>
      <c r="G58" s="4">
        <f t="shared" si="3"/>
        <v>768</v>
      </c>
      <c r="H58" t="str" cm="1">
        <f t="array" ref="H58">_xlfn.IFS(E58&lt;=3,"Below",E58&lt;=4.4,"Average",E58&gt;=4.4,"Excellent")</f>
        <v>Average</v>
      </c>
      <c r="I58" t="str">
        <f t="shared" si="4"/>
        <v>High Discount</v>
      </c>
      <c r="J58" t="str" cm="1">
        <f t="array" ref="J58">_xlfn.IFS(D58&lt;=20%, "Low Discount", D58&lt;=40%, "Medium Discounts", D58&gt;40%, "High Discounts")</f>
        <v>High Discounts</v>
      </c>
      <c r="K58" s="30" t="str">
        <f t="shared" si="5"/>
        <v/>
      </c>
    </row>
    <row r="59" spans="1:11" ht="15.75" x14ac:dyDescent="0.25">
      <c r="A59" t="s">
        <v>60</v>
      </c>
      <c r="B59" s="4">
        <v>2799</v>
      </c>
      <c r="C59" s="4">
        <v>3810</v>
      </c>
      <c r="D59" s="1">
        <v>0.27</v>
      </c>
      <c r="E59">
        <v>3.8889999999999998</v>
      </c>
      <c r="F59">
        <v>0</v>
      </c>
      <c r="G59" s="4">
        <f t="shared" si="3"/>
        <v>1011</v>
      </c>
      <c r="H59" t="str" cm="1">
        <f t="array" ref="H59">_xlfn.IFS(E59&lt;=3,"Below",E59&lt;=4.4,"Average",E59&gt;=4.4,"Excellent")</f>
        <v>Average</v>
      </c>
      <c r="I59" t="str">
        <f t="shared" si="4"/>
        <v>Medium Discount</v>
      </c>
      <c r="J59" t="str" cm="1">
        <f t="array" ref="J59">_xlfn.IFS(D59&lt;=20%, "Low Discount", D59&lt;=40%, "Medium Discounts", D59&gt;40%, "High Discounts")</f>
        <v>Medium Discounts</v>
      </c>
      <c r="K59" s="30" t="str">
        <f t="shared" si="5"/>
        <v/>
      </c>
    </row>
    <row r="60" spans="1:11" ht="15.75" x14ac:dyDescent="0.25">
      <c r="A60" t="s">
        <v>61</v>
      </c>
      <c r="B60" s="4">
        <v>2170</v>
      </c>
      <c r="C60" s="4">
        <v>2500</v>
      </c>
      <c r="D60" s="1">
        <v>0.13</v>
      </c>
      <c r="E60">
        <v>2.5</v>
      </c>
      <c r="F60">
        <v>6</v>
      </c>
      <c r="G60" s="4">
        <f t="shared" si="3"/>
        <v>330</v>
      </c>
      <c r="H60" t="str" cm="1">
        <f t="array" ref="H60">_xlfn.IFS(E60&lt;=3,"Below",E60&lt;=4.4,"Average",E60&gt;=4.4,"Excellent")</f>
        <v>Below</v>
      </c>
      <c r="I60" t="str">
        <f t="shared" si="4"/>
        <v>Low Discount</v>
      </c>
      <c r="J60" t="str" cm="1">
        <f t="array" ref="J60">_xlfn.IFS(D60&lt;=20%, "Low Discount", D60&lt;=40%, "Medium Discounts", D60&gt;40%, "High Discounts")</f>
        <v>Low Discount</v>
      </c>
      <c r="K60" s="30" t="str">
        <f t="shared" si="5"/>
        <v/>
      </c>
    </row>
    <row r="61" spans="1:11" ht="15.75" x14ac:dyDescent="0.25">
      <c r="A61" t="s">
        <v>62</v>
      </c>
      <c r="B61" s="4">
        <v>458</v>
      </c>
      <c r="C61" s="4">
        <v>986</v>
      </c>
      <c r="D61" s="1">
        <v>0.54</v>
      </c>
      <c r="E61">
        <v>3</v>
      </c>
      <c r="F61">
        <v>10</v>
      </c>
      <c r="G61" s="4">
        <f t="shared" si="3"/>
        <v>528</v>
      </c>
      <c r="H61" t="str" cm="1">
        <f t="array" ref="H61">_xlfn.IFS(E61&lt;=3,"Below",E61&lt;=4.4,"Average",E61&gt;=4.4,"Excellent")</f>
        <v>Below</v>
      </c>
      <c r="I61" t="str">
        <f t="shared" si="4"/>
        <v>High Discount</v>
      </c>
      <c r="J61" t="str" cm="1">
        <f t="array" ref="J61">_xlfn.IFS(D61&lt;=20%, "Low Discount", D61&lt;=40%, "Medium Discounts", D61&gt;40%, "High Discounts")</f>
        <v>High Discounts</v>
      </c>
      <c r="K61" s="30" t="str">
        <f t="shared" si="5"/>
        <v/>
      </c>
    </row>
    <row r="62" spans="1:11" ht="15.75" x14ac:dyDescent="0.25">
      <c r="A62" t="s">
        <v>63</v>
      </c>
      <c r="B62" s="4">
        <v>2115</v>
      </c>
      <c r="C62" s="4">
        <v>4700</v>
      </c>
      <c r="D62" s="1">
        <v>0.55000000000000004</v>
      </c>
      <c r="E62">
        <v>2.1</v>
      </c>
      <c r="F62">
        <v>13</v>
      </c>
      <c r="G62" s="4">
        <f t="shared" si="3"/>
        <v>2585</v>
      </c>
      <c r="H62" t="str" cm="1">
        <f t="array" ref="H62">_xlfn.IFS(E62&lt;=3,"Below",E62&lt;=4.4,"Average",E62&gt;=4.4,"Excellent")</f>
        <v>Below</v>
      </c>
      <c r="I62" t="str">
        <f t="shared" si="4"/>
        <v>High Discount</v>
      </c>
      <c r="J62" t="str" cm="1">
        <f t="array" ref="J62">_xlfn.IFS(D62&lt;=20%, "Low Discount", D62&lt;=40%, "Medium Discounts", D62&gt;40%, "High Discounts")</f>
        <v>High Discounts</v>
      </c>
      <c r="K62" s="30" t="str">
        <f t="shared" si="5"/>
        <v/>
      </c>
    </row>
    <row r="63" spans="1:11" ht="15.75" x14ac:dyDescent="0.25">
      <c r="A63" t="s">
        <v>64</v>
      </c>
      <c r="B63" s="4">
        <v>445</v>
      </c>
      <c r="C63" s="4">
        <v>873</v>
      </c>
      <c r="D63" s="1">
        <v>0.49</v>
      </c>
      <c r="E63">
        <v>2.8</v>
      </c>
      <c r="F63">
        <v>69</v>
      </c>
      <c r="G63" s="4">
        <f t="shared" si="3"/>
        <v>428</v>
      </c>
      <c r="H63" t="str" cm="1">
        <f t="array" ref="H63">_xlfn.IFS(E63&lt;=3,"Below",E63&lt;=4.4,"Average",E63&gt;=4.4,"Excellent")</f>
        <v>Below</v>
      </c>
      <c r="I63" t="str">
        <f t="shared" si="4"/>
        <v>High Discount</v>
      </c>
      <c r="J63" t="str" cm="1">
        <f t="array" ref="J63">_xlfn.IFS(D63&lt;=20%, "Low Discount", D63&lt;=40%, "Medium Discounts", D63&gt;40%, "High Discounts")</f>
        <v>High Discounts</v>
      </c>
      <c r="K63" s="30" t="str">
        <f t="shared" si="5"/>
        <v/>
      </c>
    </row>
    <row r="64" spans="1:11" ht="15.75" x14ac:dyDescent="0.25">
      <c r="A64" t="s">
        <v>65</v>
      </c>
      <c r="B64" s="4">
        <v>325</v>
      </c>
      <c r="C64" s="4">
        <v>680</v>
      </c>
      <c r="D64" s="1">
        <v>0.52</v>
      </c>
      <c r="E64">
        <v>2.7</v>
      </c>
      <c r="F64">
        <v>15</v>
      </c>
      <c r="G64" s="4">
        <f t="shared" si="3"/>
        <v>355</v>
      </c>
      <c r="H64" t="str" cm="1">
        <f t="array" ref="H64">_xlfn.IFS(E64&lt;=3,"Below",E64&lt;=4.4,"Average",E64&gt;=4.4,"Excellent")</f>
        <v>Below</v>
      </c>
      <c r="I64" t="str">
        <f t="shared" si="4"/>
        <v>High Discount</v>
      </c>
      <c r="J64" t="str" cm="1">
        <f t="array" ref="J64">_xlfn.IFS(D64&lt;=20%, "Low Discount", D64&lt;=40%, "Medium Discounts", D64&gt;40%, "High Discounts")</f>
        <v>High Discounts</v>
      </c>
      <c r="K64" s="30" t="str">
        <f t="shared" si="5"/>
        <v/>
      </c>
    </row>
    <row r="65" spans="1:11" ht="15.75" x14ac:dyDescent="0.25">
      <c r="A65" t="s">
        <v>66</v>
      </c>
      <c r="B65" s="4">
        <v>1220</v>
      </c>
      <c r="C65" s="4">
        <v>1555</v>
      </c>
      <c r="D65" s="1">
        <v>0.22</v>
      </c>
      <c r="E65">
        <v>2.9</v>
      </c>
      <c r="F65">
        <v>16</v>
      </c>
      <c r="G65" s="4">
        <f t="shared" si="3"/>
        <v>335</v>
      </c>
      <c r="H65" t="str" cm="1">
        <f t="array" ref="H65">_xlfn.IFS(E65&lt;=3,"Below",E65&lt;=4.4,"Average",E65&gt;=4.4,"Excellent")</f>
        <v>Below</v>
      </c>
      <c r="I65" t="str">
        <f t="shared" si="4"/>
        <v>Medium Discount</v>
      </c>
      <c r="J65" t="str" cm="1">
        <f t="array" ref="J65">_xlfn.IFS(D65&lt;=20%, "Low Discount", D65&lt;=40%, "Medium Discounts", D65&gt;40%, "High Discounts")</f>
        <v>Medium Discounts</v>
      </c>
      <c r="K65" s="30" t="str">
        <f t="shared" si="5"/>
        <v/>
      </c>
    </row>
    <row r="66" spans="1:11" ht="15.75" x14ac:dyDescent="0.25">
      <c r="A66" t="s">
        <v>67</v>
      </c>
      <c r="B66" s="4">
        <v>990</v>
      </c>
      <c r="C66" s="4">
        <v>1814</v>
      </c>
      <c r="D66" s="1">
        <v>0.45</v>
      </c>
      <c r="E66">
        <v>2.2000000000000002</v>
      </c>
      <c r="F66">
        <v>6</v>
      </c>
      <c r="G66" s="4">
        <f t="shared" ref="G66:G97" si="6">C66-B66</f>
        <v>824</v>
      </c>
      <c r="H66" t="str" cm="1">
        <f t="array" ref="H66">_xlfn.IFS(E66&lt;=3,"Below",E66&lt;=4.4,"Average",E66&gt;=4.4,"Excellent")</f>
        <v>Below</v>
      </c>
      <c r="I66" t="str">
        <f t="shared" ref="I66:I97" si="7">IF(D66&lt;=20%,"Low Discount",IF(D66&lt;=40%,"Medium Discount",IF(D66&gt;=40%,"High Discount")))</f>
        <v>High Discount</v>
      </c>
      <c r="J66" t="str" cm="1">
        <f t="array" ref="J66">_xlfn.IFS(D66&lt;=20%, "Low Discount", D66&lt;=40%, "Medium Discounts", D66&gt;40%, "High Discounts")</f>
        <v>High Discounts</v>
      </c>
      <c r="K66" s="30" t="str">
        <f t="shared" ref="K66:K97" si="8">IF(B66=MAX($B$2:$B$110),"Most Expensive",IF(B66=MIN($B$2:$B$110),"Least Expensive",""))</f>
        <v/>
      </c>
    </row>
    <row r="67" spans="1:11" ht="15.75" x14ac:dyDescent="0.25">
      <c r="A67" t="s">
        <v>68</v>
      </c>
      <c r="B67" s="4">
        <v>1000</v>
      </c>
      <c r="C67" s="4">
        <v>2000</v>
      </c>
      <c r="D67" s="1">
        <v>0.5</v>
      </c>
      <c r="E67">
        <v>2.2999999999999998</v>
      </c>
      <c r="F67">
        <v>7</v>
      </c>
      <c r="G67" s="4">
        <f t="shared" si="6"/>
        <v>1000</v>
      </c>
      <c r="H67" t="str" cm="1">
        <f t="array" ref="H67">_xlfn.IFS(E67&lt;=3,"Below",E67&lt;=4.4,"Average",E67&gt;=4.4,"Excellent")</f>
        <v>Below</v>
      </c>
      <c r="I67" t="str">
        <f t="shared" si="7"/>
        <v>High Discount</v>
      </c>
      <c r="J67" t="str" cm="1">
        <f t="array" ref="J67">_xlfn.IFS(D67&lt;=20%, "Low Discount", D67&lt;=40%, "Medium Discounts", D67&gt;40%, "High Discounts")</f>
        <v>High Discounts</v>
      </c>
      <c r="K67" s="30" t="str">
        <f t="shared" si="8"/>
        <v/>
      </c>
    </row>
    <row r="68" spans="1:11" ht="15.75" x14ac:dyDescent="0.25">
      <c r="A68" t="s">
        <v>69</v>
      </c>
      <c r="B68" s="4">
        <v>3750</v>
      </c>
      <c r="C68" s="4">
        <v>6143</v>
      </c>
      <c r="D68" s="1">
        <v>0.39</v>
      </c>
      <c r="E68">
        <v>3</v>
      </c>
      <c r="F68">
        <v>5</v>
      </c>
      <c r="G68" s="4">
        <f t="shared" si="6"/>
        <v>2393</v>
      </c>
      <c r="H68" t="str" cm="1">
        <f t="array" ref="H68">_xlfn.IFS(E68&lt;=3,"Below",E68&lt;=4.4,"Average",E68&gt;=4.4,"Excellent")</f>
        <v>Below</v>
      </c>
      <c r="I68" t="str">
        <f t="shared" si="7"/>
        <v>Medium Discount</v>
      </c>
      <c r="J68" t="str" cm="1">
        <f t="array" ref="J68">_xlfn.IFS(D68&lt;=20%, "Low Discount", D68&lt;=40%, "Medium Discounts", D68&gt;40%, "High Discounts")</f>
        <v>Medium Discounts</v>
      </c>
      <c r="K68" s="30" t="str">
        <f t="shared" si="8"/>
        <v>Most Expensive</v>
      </c>
    </row>
    <row r="69" spans="1:11" ht="15.75" x14ac:dyDescent="0.25">
      <c r="A69" t="s">
        <v>70</v>
      </c>
      <c r="B69" s="4">
        <v>382</v>
      </c>
      <c r="C69" s="4">
        <v>700</v>
      </c>
      <c r="D69" s="1">
        <v>0.45</v>
      </c>
      <c r="E69">
        <v>2.6</v>
      </c>
      <c r="F69">
        <v>17</v>
      </c>
      <c r="G69" s="4">
        <f t="shared" si="6"/>
        <v>318</v>
      </c>
      <c r="H69" t="str" cm="1">
        <f t="array" ref="H69">_xlfn.IFS(E69&lt;=3,"Below",E69&lt;=4.4,"Average",E69&gt;=4.4,"Excellent")</f>
        <v>Below</v>
      </c>
      <c r="I69" t="str">
        <f t="shared" si="7"/>
        <v>High Discount</v>
      </c>
      <c r="J69" t="str" cm="1">
        <f t="array" ref="J69">_xlfn.IFS(D69&lt;=20%, "Low Discount", D69&lt;=40%, "Medium Discounts", D69&gt;40%, "High Discounts")</f>
        <v>High Discounts</v>
      </c>
      <c r="K69" s="30" t="str">
        <f t="shared" si="8"/>
        <v/>
      </c>
    </row>
    <row r="70" spans="1:11" ht="15.75" x14ac:dyDescent="0.25">
      <c r="A70" t="s">
        <v>71</v>
      </c>
      <c r="B70" s="4">
        <v>2300</v>
      </c>
      <c r="C70" s="4">
        <v>3240</v>
      </c>
      <c r="D70" s="1">
        <v>0.28999999999999998</v>
      </c>
      <c r="E70">
        <v>3</v>
      </c>
      <c r="F70">
        <v>5</v>
      </c>
      <c r="G70" s="4">
        <f t="shared" si="6"/>
        <v>940</v>
      </c>
      <c r="H70" t="str" cm="1">
        <f t="array" ref="H70">_xlfn.IFS(E70&lt;=3,"Below",E70&lt;=4.4,"Average",E70&gt;=4.4,"Excellent")</f>
        <v>Below</v>
      </c>
      <c r="I70" t="str">
        <f t="shared" si="7"/>
        <v>Medium Discount</v>
      </c>
      <c r="J70" t="str" cm="1">
        <f t="array" ref="J70">_xlfn.IFS(D70&lt;=20%, "Low Discount", D70&lt;=40%, "Medium Discounts", D70&gt;40%, "High Discounts")</f>
        <v>Medium Discounts</v>
      </c>
      <c r="K70" s="30" t="str">
        <f t="shared" si="8"/>
        <v/>
      </c>
    </row>
    <row r="71" spans="1:11" ht="15.75" x14ac:dyDescent="0.25">
      <c r="A71" t="s">
        <v>72</v>
      </c>
      <c r="B71" s="4">
        <v>345</v>
      </c>
      <c r="C71" s="4">
        <v>602</v>
      </c>
      <c r="D71" s="1">
        <v>0.43</v>
      </c>
      <c r="E71">
        <v>2.2999999999999998</v>
      </c>
      <c r="F71">
        <v>6</v>
      </c>
      <c r="G71" s="4">
        <f t="shared" si="6"/>
        <v>257</v>
      </c>
      <c r="H71" t="str" cm="1">
        <f t="array" ref="H71">_xlfn.IFS(E71&lt;=3,"Below",E71&lt;=4.4,"Average",E71&gt;=4.4,"Excellent")</f>
        <v>Below</v>
      </c>
      <c r="I71" t="str">
        <f t="shared" si="7"/>
        <v>High Discount</v>
      </c>
      <c r="J71" t="str" cm="1">
        <f t="array" ref="J71">_xlfn.IFS(D71&lt;=20%, "Low Discount", D71&lt;=40%, "Medium Discounts", D71&gt;40%, "High Discounts")</f>
        <v>High Discounts</v>
      </c>
      <c r="K71" s="30" t="str">
        <f t="shared" si="8"/>
        <v/>
      </c>
    </row>
    <row r="72" spans="1:11" ht="15.75" x14ac:dyDescent="0.25">
      <c r="A72" t="s">
        <v>73</v>
      </c>
      <c r="B72" s="4">
        <v>509</v>
      </c>
      <c r="C72" s="4">
        <v>899</v>
      </c>
      <c r="D72" s="1">
        <v>0.43</v>
      </c>
      <c r="E72">
        <v>3</v>
      </c>
      <c r="F72">
        <v>5</v>
      </c>
      <c r="G72" s="4">
        <f t="shared" si="6"/>
        <v>390</v>
      </c>
      <c r="H72" t="str" cm="1">
        <f t="array" ref="H72">_xlfn.IFS(E72&lt;=3,"Below",E72&lt;=4.4,"Average",E72&gt;=4.4,"Excellent")</f>
        <v>Below</v>
      </c>
      <c r="I72" t="str">
        <f t="shared" si="7"/>
        <v>High Discount</v>
      </c>
      <c r="J72" t="str" cm="1">
        <f t="array" ref="J72">_xlfn.IFS(D72&lt;=20%, "Low Discount", D72&lt;=40%, "Medium Discounts", D72&gt;40%, "High Discounts")</f>
        <v>High Discounts</v>
      </c>
      <c r="K72" s="30" t="str">
        <f t="shared" si="8"/>
        <v/>
      </c>
    </row>
    <row r="73" spans="1:11" ht="15.75" x14ac:dyDescent="0.25">
      <c r="A73" t="s">
        <v>74</v>
      </c>
      <c r="B73" s="4">
        <v>968</v>
      </c>
      <c r="C73" s="4">
        <v>1814</v>
      </c>
      <c r="D73" s="1">
        <v>0.47</v>
      </c>
      <c r="E73">
        <v>2.2000000000000002</v>
      </c>
      <c r="F73">
        <v>6</v>
      </c>
      <c r="G73" s="4">
        <f t="shared" si="6"/>
        <v>846</v>
      </c>
      <c r="H73" t="str" cm="1">
        <f t="array" ref="H73">_xlfn.IFS(E73&lt;=3,"Below",E73&lt;=4.4,"Average",E73&gt;=4.4,"Excellent")</f>
        <v>Below</v>
      </c>
      <c r="I73" t="str">
        <f t="shared" si="7"/>
        <v>High Discount</v>
      </c>
      <c r="J73" t="str" cm="1">
        <f t="array" ref="J73">_xlfn.IFS(D73&lt;=20%, "Low Discount", D73&lt;=40%, "Medium Discounts", D73&gt;40%, "High Discounts")</f>
        <v>High Discounts</v>
      </c>
      <c r="K73" s="30" t="str">
        <f t="shared" si="8"/>
        <v/>
      </c>
    </row>
    <row r="74" spans="1:11" ht="15.75" x14ac:dyDescent="0.25">
      <c r="A74" t="s">
        <v>75</v>
      </c>
      <c r="B74" s="4">
        <v>1570</v>
      </c>
      <c r="C74" s="4">
        <v>2988</v>
      </c>
      <c r="D74" s="1">
        <v>0.47</v>
      </c>
      <c r="E74">
        <v>2.1</v>
      </c>
      <c r="F74">
        <v>7</v>
      </c>
      <c r="G74" s="4">
        <f t="shared" si="6"/>
        <v>1418</v>
      </c>
      <c r="H74" t="str" cm="1">
        <f t="array" ref="H74">_xlfn.IFS(E74&lt;=3,"Below",E74&lt;=4.4,"Average",E74&gt;=4.4,"Excellent")</f>
        <v>Below</v>
      </c>
      <c r="I74" t="str">
        <f t="shared" si="7"/>
        <v>High Discount</v>
      </c>
      <c r="J74" t="str" cm="1">
        <f t="array" ref="J74">_xlfn.IFS(D74&lt;=20%, "Low Discount", D74&lt;=40%, "Medium Discounts", D74&gt;40%, "High Discounts")</f>
        <v>High Discounts</v>
      </c>
      <c r="K74" s="30" t="str">
        <f t="shared" si="8"/>
        <v/>
      </c>
    </row>
    <row r="75" spans="1:11" ht="15.75" x14ac:dyDescent="0.25">
      <c r="A75" t="s">
        <v>76</v>
      </c>
      <c r="B75" s="4">
        <v>790</v>
      </c>
      <c r="C75" s="4">
        <v>1485</v>
      </c>
      <c r="D75" s="1">
        <v>0.47</v>
      </c>
      <c r="E75">
        <v>3.8889999999999998</v>
      </c>
      <c r="F75">
        <v>0</v>
      </c>
      <c r="G75" s="4">
        <f t="shared" si="6"/>
        <v>695</v>
      </c>
      <c r="H75" t="str" cm="1">
        <f t="array" ref="H75">_xlfn.IFS(E75&lt;=3,"Below",E75&lt;=4.4,"Average",E75&gt;=4.4,"Excellent")</f>
        <v>Average</v>
      </c>
      <c r="I75" t="str">
        <f t="shared" si="7"/>
        <v>High Discount</v>
      </c>
      <c r="J75" t="str" cm="1">
        <f t="array" ref="J75">_xlfn.IFS(D75&lt;=20%, "Low Discount", D75&lt;=40%, "Medium Discounts", D75&gt;40%, "High Discounts")</f>
        <v>High Discounts</v>
      </c>
      <c r="K75" s="30" t="str">
        <f t="shared" si="8"/>
        <v/>
      </c>
    </row>
    <row r="76" spans="1:11" ht="15.75" x14ac:dyDescent="0.25">
      <c r="A76" t="s">
        <v>77</v>
      </c>
      <c r="B76" s="4">
        <v>690</v>
      </c>
      <c r="C76" s="4">
        <v>1200</v>
      </c>
      <c r="D76" s="1">
        <v>0.43</v>
      </c>
      <c r="E76">
        <v>3.8889999999999998</v>
      </c>
      <c r="F76">
        <v>0</v>
      </c>
      <c r="G76" s="4">
        <f t="shared" si="6"/>
        <v>510</v>
      </c>
      <c r="H76" t="str" cm="1">
        <f t="array" ref="H76">_xlfn.IFS(E76&lt;=3,"Below",E76&lt;=4.4,"Average",E76&gt;=4.4,"Excellent")</f>
        <v>Average</v>
      </c>
      <c r="I76" t="str">
        <f t="shared" si="7"/>
        <v>High Discount</v>
      </c>
      <c r="J76" t="str" cm="1">
        <f t="array" ref="J76">_xlfn.IFS(D76&lt;=20%, "Low Discount", D76&lt;=40%, "Medium Discounts", D76&gt;40%, "High Discounts")</f>
        <v>High Discounts</v>
      </c>
      <c r="K76" s="30" t="str">
        <f t="shared" si="8"/>
        <v/>
      </c>
    </row>
    <row r="77" spans="1:11" ht="15.75" x14ac:dyDescent="0.25">
      <c r="A77" t="s">
        <v>78</v>
      </c>
      <c r="B77" s="4">
        <v>1732</v>
      </c>
      <c r="C77" s="4">
        <v>1799</v>
      </c>
      <c r="D77" s="1">
        <v>0.04</v>
      </c>
      <c r="E77">
        <v>3.8889999999999998</v>
      </c>
      <c r="F77">
        <v>0</v>
      </c>
      <c r="G77" s="4">
        <f t="shared" si="6"/>
        <v>67</v>
      </c>
      <c r="H77" t="str" cm="1">
        <f t="array" ref="H77">_xlfn.IFS(E77&lt;=3,"Below",E77&lt;=4.4,"Average",E77&gt;=4.4,"Excellent")</f>
        <v>Average</v>
      </c>
      <c r="I77" t="str">
        <f t="shared" si="7"/>
        <v>Low Discount</v>
      </c>
      <c r="J77" t="str" cm="1">
        <f t="array" ref="J77">_xlfn.IFS(D77&lt;=20%, "Low Discount", D77&lt;=40%, "Medium Discounts", D77&gt;40%, "High Discounts")</f>
        <v>Low Discount</v>
      </c>
      <c r="K77" s="30" t="str">
        <f t="shared" si="8"/>
        <v/>
      </c>
    </row>
    <row r="78" spans="1:11" ht="15.75" x14ac:dyDescent="0.25">
      <c r="A78" t="s">
        <v>79</v>
      </c>
      <c r="B78" s="4">
        <v>230</v>
      </c>
      <c r="C78" s="4">
        <v>450</v>
      </c>
      <c r="D78" s="1">
        <v>0.49</v>
      </c>
      <c r="E78">
        <v>3.8889999999999998</v>
      </c>
      <c r="F78">
        <v>0</v>
      </c>
      <c r="G78" s="4">
        <f t="shared" si="6"/>
        <v>220</v>
      </c>
      <c r="H78" t="str" cm="1">
        <f t="array" ref="H78">_xlfn.IFS(E78&lt;=3,"Below",E78&lt;=4.4,"Average",E78&gt;=4.4,"Excellent")</f>
        <v>Average</v>
      </c>
      <c r="I78" t="str">
        <f t="shared" si="7"/>
        <v>High Discount</v>
      </c>
      <c r="J78" t="str" cm="1">
        <f t="array" ref="J78">_xlfn.IFS(D78&lt;=20%, "Low Discount", D78&lt;=40%, "Medium Discounts", D78&gt;40%, "High Discounts")</f>
        <v>High Discounts</v>
      </c>
      <c r="K78" s="30" t="str">
        <f t="shared" si="8"/>
        <v/>
      </c>
    </row>
    <row r="79" spans="1:11" ht="15.75" x14ac:dyDescent="0.25">
      <c r="A79" t="s">
        <v>80</v>
      </c>
      <c r="B79" s="4">
        <v>1189</v>
      </c>
      <c r="C79" s="4">
        <v>2199</v>
      </c>
      <c r="D79" s="1">
        <v>0.46</v>
      </c>
      <c r="E79">
        <v>3</v>
      </c>
      <c r="F79">
        <v>1</v>
      </c>
      <c r="G79" s="4">
        <f t="shared" si="6"/>
        <v>1010</v>
      </c>
      <c r="H79" t="str" cm="1">
        <f t="array" ref="H79">_xlfn.IFS(E79&lt;=3,"Below",E79&lt;=4.4,"Average",E79&gt;=4.4,"Excellent")</f>
        <v>Below</v>
      </c>
      <c r="I79" t="str">
        <f t="shared" si="7"/>
        <v>High Discount</v>
      </c>
      <c r="J79" t="str" cm="1">
        <f t="array" ref="J79">_xlfn.IFS(D79&lt;=20%, "Low Discount", D79&lt;=40%, "Medium Discounts", D79&gt;40%, "High Discounts")</f>
        <v>High Discounts</v>
      </c>
      <c r="K79" s="30" t="str">
        <f t="shared" si="8"/>
        <v/>
      </c>
    </row>
    <row r="80" spans="1:11" ht="15.75" x14ac:dyDescent="0.25">
      <c r="A80" t="s">
        <v>81</v>
      </c>
      <c r="B80" s="4">
        <v>979</v>
      </c>
      <c r="C80" s="4">
        <v>1920</v>
      </c>
      <c r="D80" s="1">
        <v>0.49</v>
      </c>
      <c r="E80">
        <v>5</v>
      </c>
      <c r="F80">
        <v>1</v>
      </c>
      <c r="G80" s="4">
        <f t="shared" si="6"/>
        <v>941</v>
      </c>
      <c r="H80" t="str" cm="1">
        <f t="array" ref="H80">_xlfn.IFS(E80&lt;=3,"Below",E80&lt;=4.4,"Average",E80&gt;=4.4,"Excellent")</f>
        <v>Excellent</v>
      </c>
      <c r="I80" t="str">
        <f t="shared" si="7"/>
        <v>High Discount</v>
      </c>
      <c r="J80" t="str" cm="1">
        <f t="array" ref="J80">_xlfn.IFS(D80&lt;=20%, "Low Discount", D80&lt;=40%, "Medium Discounts", D80&gt;40%, "High Discounts")</f>
        <v>High Discounts</v>
      </c>
      <c r="K80" s="30" t="str">
        <f t="shared" si="8"/>
        <v/>
      </c>
    </row>
    <row r="81" spans="1:11" ht="15.75" x14ac:dyDescent="0.25">
      <c r="A81" t="s">
        <v>82</v>
      </c>
      <c r="B81" s="4">
        <v>1460</v>
      </c>
      <c r="C81" s="4">
        <v>2290</v>
      </c>
      <c r="D81" s="1">
        <v>0.36</v>
      </c>
      <c r="E81">
        <v>3.8889999999999998</v>
      </c>
      <c r="F81">
        <v>0</v>
      </c>
      <c r="G81" s="4">
        <f t="shared" si="6"/>
        <v>830</v>
      </c>
      <c r="H81" t="str" cm="1">
        <f t="array" ref="H81">_xlfn.IFS(E81&lt;=3,"Below",E81&lt;=4.4,"Average",E81&gt;=4.4,"Excellent")</f>
        <v>Average</v>
      </c>
      <c r="I81" t="str">
        <f t="shared" si="7"/>
        <v>Medium Discount</v>
      </c>
      <c r="J81" t="str" cm="1">
        <f t="array" ref="J81">_xlfn.IFS(D81&lt;=20%, "Low Discount", D81&lt;=40%, "Medium Discounts", D81&gt;40%, "High Discounts")</f>
        <v>Medium Discounts</v>
      </c>
      <c r="K81" s="30" t="str">
        <f t="shared" si="8"/>
        <v/>
      </c>
    </row>
    <row r="82" spans="1:11" ht="15.75" x14ac:dyDescent="0.25">
      <c r="A82" t="s">
        <v>83</v>
      </c>
      <c r="B82" s="4">
        <v>1666</v>
      </c>
      <c r="C82" s="4">
        <v>1699</v>
      </c>
      <c r="D82" s="1">
        <v>0.02</v>
      </c>
      <c r="E82">
        <v>3.8889999999999998</v>
      </c>
      <c r="F82">
        <v>0</v>
      </c>
      <c r="G82" s="4">
        <f t="shared" si="6"/>
        <v>33</v>
      </c>
      <c r="H82" t="str" cm="1">
        <f t="array" ref="H82">_xlfn.IFS(E82&lt;=3,"Below",E82&lt;=4.4,"Average",E82&gt;=4.4,"Excellent")</f>
        <v>Average</v>
      </c>
      <c r="I82" t="str">
        <f t="shared" si="7"/>
        <v>Low Discount</v>
      </c>
      <c r="J82" t="str" cm="1">
        <f t="array" ref="J82">_xlfn.IFS(D82&lt;=20%, "Low Discount", D82&lt;=40%, "Medium Discounts", D82&gt;40%, "High Discounts")</f>
        <v>Low Discount</v>
      </c>
      <c r="K82" s="30" t="str">
        <f t="shared" si="8"/>
        <v/>
      </c>
    </row>
    <row r="83" spans="1:11" ht="15.75" x14ac:dyDescent="0.25">
      <c r="A83" t="s">
        <v>84</v>
      </c>
      <c r="B83" s="4">
        <v>330</v>
      </c>
      <c r="C83" s="4">
        <v>647</v>
      </c>
      <c r="D83" s="1">
        <v>0.49</v>
      </c>
      <c r="E83">
        <v>4</v>
      </c>
      <c r="F83">
        <v>1</v>
      </c>
      <c r="G83" s="4">
        <f t="shared" si="6"/>
        <v>317</v>
      </c>
      <c r="H83" t="str" cm="1">
        <f t="array" ref="H83">_xlfn.IFS(E83&lt;=3,"Below",E83&lt;=4.4,"Average",E83&gt;=4.4,"Excellent")</f>
        <v>Average</v>
      </c>
      <c r="I83" t="str">
        <f t="shared" si="7"/>
        <v>High Discount</v>
      </c>
      <c r="J83" t="str" cm="1">
        <f t="array" ref="J83">_xlfn.IFS(D83&lt;=20%, "Low Discount", D83&lt;=40%, "Medium Discounts", D83&gt;40%, "High Discounts")</f>
        <v>High Discounts</v>
      </c>
      <c r="K83" s="30" t="str">
        <f t="shared" si="8"/>
        <v/>
      </c>
    </row>
    <row r="84" spans="1:11" ht="15.75" x14ac:dyDescent="0.25">
      <c r="A84" t="s">
        <v>85</v>
      </c>
      <c r="B84" s="4">
        <v>1466</v>
      </c>
      <c r="C84" s="4">
        <v>1699</v>
      </c>
      <c r="D84" s="1">
        <v>0.14000000000000001</v>
      </c>
      <c r="E84">
        <v>3.8889999999999998</v>
      </c>
      <c r="F84">
        <v>0</v>
      </c>
      <c r="G84" s="4">
        <f t="shared" si="6"/>
        <v>233</v>
      </c>
      <c r="H84" t="str" cm="1">
        <f t="array" ref="H84">_xlfn.IFS(E84&lt;=3,"Below",E84&lt;=4.4,"Average",E84&gt;=4.4,"Excellent")</f>
        <v>Average</v>
      </c>
      <c r="I84" t="str">
        <f t="shared" si="7"/>
        <v>Low Discount</v>
      </c>
      <c r="J84" t="str" cm="1">
        <f t="array" ref="J84">_xlfn.IFS(D84&lt;=20%, "Low Discount", D84&lt;=40%, "Medium Discounts", D84&gt;40%, "High Discounts")</f>
        <v>Low Discount</v>
      </c>
      <c r="K84" s="30" t="str">
        <f t="shared" si="8"/>
        <v/>
      </c>
    </row>
    <row r="85" spans="1:11" ht="15.75" x14ac:dyDescent="0.25">
      <c r="A85" t="s">
        <v>86</v>
      </c>
      <c r="B85" s="4">
        <v>274</v>
      </c>
      <c r="C85" s="4">
        <v>537</v>
      </c>
      <c r="D85" s="1">
        <v>0.49</v>
      </c>
      <c r="E85">
        <v>3.8889999999999998</v>
      </c>
      <c r="F85">
        <v>0</v>
      </c>
      <c r="G85" s="4">
        <f t="shared" si="6"/>
        <v>263</v>
      </c>
      <c r="H85" t="str" cm="1">
        <f t="array" ref="H85">_xlfn.IFS(E85&lt;=3,"Below",E85&lt;=4.4,"Average",E85&gt;=4.4,"Excellent")</f>
        <v>Average</v>
      </c>
      <c r="I85" t="str">
        <f t="shared" si="7"/>
        <v>High Discount</v>
      </c>
      <c r="J85" t="str" cm="1">
        <f t="array" ref="J85">_xlfn.IFS(D85&lt;=20%, "Low Discount", D85&lt;=40%, "Medium Discounts", D85&gt;40%, "High Discounts")</f>
        <v>High Discounts</v>
      </c>
      <c r="K85" s="30" t="str">
        <f t="shared" si="8"/>
        <v/>
      </c>
    </row>
    <row r="86" spans="1:11" ht="15.75" x14ac:dyDescent="0.25">
      <c r="A86" t="s">
        <v>87</v>
      </c>
      <c r="B86" s="4">
        <v>799</v>
      </c>
      <c r="C86" s="4">
        <v>900</v>
      </c>
      <c r="D86" s="1">
        <v>0.11</v>
      </c>
      <c r="E86">
        <v>3.8889999999999998</v>
      </c>
      <c r="F86">
        <v>0</v>
      </c>
      <c r="G86" s="4">
        <f t="shared" si="6"/>
        <v>101</v>
      </c>
      <c r="H86" t="str" cm="1">
        <f t="array" ref="H86">_xlfn.IFS(E86&lt;=3,"Below",E86&lt;=4.4,"Average",E86&gt;=4.4,"Excellent")</f>
        <v>Average</v>
      </c>
      <c r="I86" t="str">
        <f t="shared" si="7"/>
        <v>Low Discount</v>
      </c>
      <c r="J86" t="str" cm="1">
        <f t="array" ref="J86">_xlfn.IFS(D86&lt;=20%, "Low Discount", D86&lt;=40%, "Medium Discounts", D86&gt;40%, "High Discounts")</f>
        <v>Low Discount</v>
      </c>
      <c r="K86" s="30" t="str">
        <f t="shared" si="8"/>
        <v/>
      </c>
    </row>
    <row r="87" spans="1:11" ht="15.75" x14ac:dyDescent="0.25">
      <c r="A87" t="s">
        <v>88</v>
      </c>
      <c r="B87" s="4">
        <v>1468</v>
      </c>
      <c r="C87" s="4">
        <v>1699</v>
      </c>
      <c r="D87" s="1">
        <v>0.14000000000000001</v>
      </c>
      <c r="E87">
        <v>3.8889999999999998</v>
      </c>
      <c r="F87">
        <v>0</v>
      </c>
      <c r="G87" s="4">
        <f t="shared" si="6"/>
        <v>231</v>
      </c>
      <c r="H87" t="str" cm="1">
        <f t="array" ref="H87">_xlfn.IFS(E87&lt;=3,"Below",E87&lt;=4.4,"Average",E87&gt;=4.4,"Excellent")</f>
        <v>Average</v>
      </c>
      <c r="I87" t="str">
        <f t="shared" si="7"/>
        <v>Low Discount</v>
      </c>
      <c r="J87" t="str" cm="1">
        <f t="array" ref="J87">_xlfn.IFS(D87&lt;=20%, "Low Discount", D87&lt;=40%, "Medium Discounts", D87&gt;40%, "High Discounts")</f>
        <v>Low Discount</v>
      </c>
      <c r="K87" s="30" t="str">
        <f t="shared" si="8"/>
        <v/>
      </c>
    </row>
    <row r="88" spans="1:11" ht="15.75" x14ac:dyDescent="0.25">
      <c r="A88" t="s">
        <v>89</v>
      </c>
      <c r="B88" s="4">
        <v>630</v>
      </c>
      <c r="C88" s="4">
        <v>1100</v>
      </c>
      <c r="D88" s="1">
        <v>0.43</v>
      </c>
      <c r="E88">
        <v>3.8889999999999998</v>
      </c>
      <c r="F88">
        <v>0</v>
      </c>
      <c r="G88" s="4">
        <f t="shared" si="6"/>
        <v>470</v>
      </c>
      <c r="H88" t="str" cm="1">
        <f t="array" ref="H88">_xlfn.IFS(E88&lt;=3,"Below",E88&lt;=4.4,"Average",E88&gt;=4.4,"Excellent")</f>
        <v>Average</v>
      </c>
      <c r="I88" t="str">
        <f t="shared" si="7"/>
        <v>High Discount</v>
      </c>
      <c r="J88" t="str" cm="1">
        <f t="array" ref="J88">_xlfn.IFS(D88&lt;=20%, "Low Discount", D88&lt;=40%, "Medium Discounts", D88&gt;40%, "High Discounts")</f>
        <v>High Discounts</v>
      </c>
      <c r="K88" s="30" t="str">
        <f t="shared" si="8"/>
        <v/>
      </c>
    </row>
    <row r="89" spans="1:11" ht="15.75" x14ac:dyDescent="0.25">
      <c r="A89" t="s">
        <v>90</v>
      </c>
      <c r="B89" s="4">
        <v>850</v>
      </c>
      <c r="C89" s="4">
        <v>1700</v>
      </c>
      <c r="D89" s="1">
        <v>0.5</v>
      </c>
      <c r="E89">
        <v>3.8889999999999998</v>
      </c>
      <c r="F89">
        <v>0</v>
      </c>
      <c r="G89" s="4">
        <f t="shared" si="6"/>
        <v>850</v>
      </c>
      <c r="H89" t="str" cm="1">
        <f t="array" ref="H89">_xlfn.IFS(E89&lt;=3,"Below",E89&lt;=4.4,"Average",E89&gt;=4.4,"Excellent")</f>
        <v>Average</v>
      </c>
      <c r="I89" t="str">
        <f t="shared" si="7"/>
        <v>High Discount</v>
      </c>
      <c r="J89" t="str" cm="1">
        <f t="array" ref="J89">_xlfn.IFS(D89&lt;=20%, "Low Discount", D89&lt;=40%, "Medium Discounts", D89&gt;40%, "High Discounts")</f>
        <v>High Discounts</v>
      </c>
      <c r="K89" s="30" t="str">
        <f t="shared" si="8"/>
        <v/>
      </c>
    </row>
    <row r="90" spans="1:11" ht="15.75" x14ac:dyDescent="0.25">
      <c r="A90" t="s">
        <v>91</v>
      </c>
      <c r="B90" s="4">
        <v>1300</v>
      </c>
      <c r="C90" s="4">
        <v>2500</v>
      </c>
      <c r="D90" s="1">
        <v>0.48</v>
      </c>
      <c r="E90">
        <v>3.8889999999999998</v>
      </c>
      <c r="F90">
        <v>0</v>
      </c>
      <c r="G90" s="4">
        <f t="shared" si="6"/>
        <v>1200</v>
      </c>
      <c r="H90" t="str" cm="1">
        <f t="array" ref="H90">_xlfn.IFS(E90&lt;=3,"Below",E90&lt;=4.4,"Average",E90&gt;=4.4,"Excellent")</f>
        <v>Average</v>
      </c>
      <c r="I90" t="str">
        <f t="shared" si="7"/>
        <v>High Discount</v>
      </c>
      <c r="J90" t="str" cm="1">
        <f t="array" ref="J90">_xlfn.IFS(D90&lt;=20%, "Low Discount", D90&lt;=40%, "Medium Discounts", D90&gt;40%, "High Discounts")</f>
        <v>High Discounts</v>
      </c>
      <c r="K90" s="30" t="str">
        <f t="shared" si="8"/>
        <v/>
      </c>
    </row>
    <row r="91" spans="1:11" ht="15.75" x14ac:dyDescent="0.25">
      <c r="A91" t="s">
        <v>92</v>
      </c>
      <c r="B91" s="4">
        <v>105</v>
      </c>
      <c r="C91" s="4">
        <v>200</v>
      </c>
      <c r="D91" s="1">
        <v>0.48</v>
      </c>
      <c r="E91">
        <v>3.8889999999999998</v>
      </c>
      <c r="F91">
        <v>0</v>
      </c>
      <c r="G91" s="4">
        <f t="shared" si="6"/>
        <v>95</v>
      </c>
      <c r="H91" t="str" cm="1">
        <f t="array" ref="H91">_xlfn.IFS(E91&lt;=3,"Below",E91&lt;=4.4,"Average",E91&gt;=4.4,"Excellent")</f>
        <v>Average</v>
      </c>
      <c r="I91" t="str">
        <f t="shared" si="7"/>
        <v>High Discount</v>
      </c>
      <c r="J91" t="str" cm="1">
        <f t="array" ref="J91">_xlfn.IFS(D91&lt;=20%, "Low Discount", D91&lt;=40%, "Medium Discounts", D91&gt;40%, "High Discounts")</f>
        <v>High Discounts</v>
      </c>
      <c r="K91" s="30" t="str">
        <f t="shared" si="8"/>
        <v/>
      </c>
    </row>
    <row r="92" spans="1:11" ht="15.75" x14ac:dyDescent="0.25">
      <c r="A92" t="s">
        <v>93</v>
      </c>
      <c r="B92" s="4">
        <v>899</v>
      </c>
      <c r="C92" s="4">
        <v>1699</v>
      </c>
      <c r="D92" s="1">
        <v>0.47</v>
      </c>
      <c r="E92">
        <v>3.8889999999999998</v>
      </c>
      <c r="F92">
        <v>0</v>
      </c>
      <c r="G92" s="4">
        <f t="shared" si="6"/>
        <v>800</v>
      </c>
      <c r="H92" t="str" cm="1">
        <f t="array" ref="H92">_xlfn.IFS(E92&lt;=3,"Below",E92&lt;=4.4,"Average",E92&gt;=4.4,"Excellent")</f>
        <v>Average</v>
      </c>
      <c r="I92" t="str">
        <f t="shared" si="7"/>
        <v>High Discount</v>
      </c>
      <c r="J92" t="str" cm="1">
        <f t="array" ref="J92">_xlfn.IFS(D92&lt;=20%, "Low Discount", D92&lt;=40%, "Medium Discounts", D92&gt;40%, "High Discounts")</f>
        <v>High Discounts</v>
      </c>
      <c r="K92" s="30" t="str">
        <f t="shared" si="8"/>
        <v/>
      </c>
    </row>
    <row r="93" spans="1:11" ht="15.75" x14ac:dyDescent="0.25">
      <c r="A93" t="s">
        <v>94</v>
      </c>
      <c r="B93" s="4">
        <v>1200</v>
      </c>
      <c r="C93" s="4">
        <v>2400</v>
      </c>
      <c r="D93" s="1">
        <v>0.5</v>
      </c>
      <c r="E93">
        <v>3.8889999999999998</v>
      </c>
      <c r="F93">
        <v>0</v>
      </c>
      <c r="G93" s="4">
        <f t="shared" si="6"/>
        <v>1200</v>
      </c>
      <c r="H93" t="str" cm="1">
        <f t="array" ref="H93">_xlfn.IFS(E93&lt;=3,"Below",E93&lt;=4.4,"Average",E93&gt;=4.4,"Excellent")</f>
        <v>Average</v>
      </c>
      <c r="I93" t="str">
        <f t="shared" si="7"/>
        <v>High Discount</v>
      </c>
      <c r="J93" t="str" cm="1">
        <f t="array" ref="J93">_xlfn.IFS(D93&lt;=20%, "Low Discount", D93&lt;=40%, "Medium Discounts", D93&gt;40%, "High Discounts")</f>
        <v>High Discounts</v>
      </c>
      <c r="K93" s="30" t="str">
        <f t="shared" si="8"/>
        <v/>
      </c>
    </row>
    <row r="94" spans="1:11" ht="15.75" x14ac:dyDescent="0.25">
      <c r="A94" t="s">
        <v>95</v>
      </c>
      <c r="B94" s="4">
        <v>1526</v>
      </c>
      <c r="C94" s="4">
        <v>1660</v>
      </c>
      <c r="D94" s="1">
        <v>0.08</v>
      </c>
      <c r="E94">
        <v>3.8889999999999998</v>
      </c>
      <c r="F94">
        <v>0</v>
      </c>
      <c r="G94" s="4">
        <f t="shared" si="6"/>
        <v>134</v>
      </c>
      <c r="H94" t="str" cm="1">
        <f t="array" ref="H94">_xlfn.IFS(E94&lt;=3,"Below",E94&lt;=4.4,"Average",E94&gt;=4.4,"Excellent")</f>
        <v>Average</v>
      </c>
      <c r="I94" t="str">
        <f t="shared" si="7"/>
        <v>Low Discount</v>
      </c>
      <c r="J94" t="str" cm="1">
        <f t="array" ref="J94">_xlfn.IFS(D94&lt;=20%, "Low Discount", D94&lt;=40%, "Medium Discounts", D94&gt;40%, "High Discounts")</f>
        <v>Low Discount</v>
      </c>
      <c r="K94" s="30" t="str">
        <f t="shared" si="8"/>
        <v/>
      </c>
    </row>
    <row r="95" spans="1:11" ht="15.75" x14ac:dyDescent="0.25">
      <c r="A95" t="s">
        <v>96</v>
      </c>
      <c r="B95" s="4">
        <v>1462</v>
      </c>
      <c r="C95" s="4">
        <v>1499</v>
      </c>
      <c r="D95" s="1">
        <v>0.02</v>
      </c>
      <c r="E95">
        <v>3.8889999999999998</v>
      </c>
      <c r="F95">
        <v>0</v>
      </c>
      <c r="G95" s="4">
        <f t="shared" si="6"/>
        <v>37</v>
      </c>
      <c r="H95" t="str" cm="1">
        <f t="array" ref="H95">_xlfn.IFS(E95&lt;=3,"Below",E95&lt;=4.4,"Average",E95&gt;=4.4,"Excellent")</f>
        <v>Average</v>
      </c>
      <c r="I95" t="str">
        <f t="shared" si="7"/>
        <v>Low Discount</v>
      </c>
      <c r="J95" t="str" cm="1">
        <f t="array" ref="J95">_xlfn.IFS(D95&lt;=20%, "Low Discount", D95&lt;=40%, "Medium Discounts", D95&gt;40%, "High Discounts")</f>
        <v>Low Discount</v>
      </c>
      <c r="K95" s="30" t="str">
        <f t="shared" si="8"/>
        <v/>
      </c>
    </row>
    <row r="96" spans="1:11" ht="15.75" x14ac:dyDescent="0.25">
      <c r="A96" t="s">
        <v>97</v>
      </c>
      <c r="B96" s="4">
        <v>248</v>
      </c>
      <c r="C96" s="4">
        <v>486</v>
      </c>
      <c r="D96" s="1">
        <v>0.49</v>
      </c>
      <c r="E96">
        <v>3.8889999999999998</v>
      </c>
      <c r="F96">
        <v>0</v>
      </c>
      <c r="G96" s="4">
        <f t="shared" si="6"/>
        <v>238</v>
      </c>
      <c r="H96" t="str" cm="1">
        <f t="array" ref="H96">_xlfn.IFS(E96&lt;=3,"Below",E96&lt;=4.4,"Average",E96&gt;=4.4,"Excellent")</f>
        <v>Average</v>
      </c>
      <c r="I96" t="str">
        <f t="shared" si="7"/>
        <v>High Discount</v>
      </c>
      <c r="J96" t="str" cm="1">
        <f t="array" ref="J96">_xlfn.IFS(D96&lt;=20%, "Low Discount", D96&lt;=40%, "Medium Discounts", D96&gt;40%, "High Discounts")</f>
        <v>High Discounts</v>
      </c>
      <c r="K96" s="30" t="str">
        <f t="shared" si="8"/>
        <v/>
      </c>
    </row>
    <row r="97" spans="1:11" ht="15.75" x14ac:dyDescent="0.25">
      <c r="A97" t="s">
        <v>98</v>
      </c>
      <c r="B97" s="4">
        <v>3546</v>
      </c>
      <c r="C97" s="4">
        <v>3699</v>
      </c>
      <c r="D97" s="1">
        <v>0.04</v>
      </c>
      <c r="E97">
        <v>3.8889999999999998</v>
      </c>
      <c r="F97">
        <v>0</v>
      </c>
      <c r="G97" s="4">
        <f t="shared" si="6"/>
        <v>153</v>
      </c>
      <c r="H97" t="str" cm="1">
        <f t="array" ref="H97">_xlfn.IFS(E97&lt;=3,"Below",E97&lt;=4.4,"Average",E97&gt;=4.4,"Excellent")</f>
        <v>Average</v>
      </c>
      <c r="I97" t="str">
        <f t="shared" si="7"/>
        <v>Low Discount</v>
      </c>
      <c r="J97" t="str" cm="1">
        <f t="array" ref="J97">_xlfn.IFS(D97&lt;=20%, "Low Discount", D97&lt;=40%, "Medium Discounts", D97&gt;40%, "High Discounts")</f>
        <v>Low Discount</v>
      </c>
      <c r="K97" s="30" t="str">
        <f t="shared" si="8"/>
        <v/>
      </c>
    </row>
    <row r="98" spans="1:11" ht="15.75" x14ac:dyDescent="0.25">
      <c r="A98" t="s">
        <v>99</v>
      </c>
      <c r="B98" s="4">
        <v>525</v>
      </c>
      <c r="C98" s="4">
        <v>1029</v>
      </c>
      <c r="D98" s="1">
        <v>0.49</v>
      </c>
      <c r="E98">
        <v>3.8889999999999998</v>
      </c>
      <c r="F98">
        <v>0</v>
      </c>
      <c r="G98" s="4">
        <f t="shared" ref="G98:G110" si="9">C98-B98</f>
        <v>504</v>
      </c>
      <c r="H98" t="str" cm="1">
        <f t="array" ref="H98">_xlfn.IFS(E98&lt;=3,"Below",E98&lt;=4.4,"Average",E98&gt;=4.4,"Excellent")</f>
        <v>Average</v>
      </c>
      <c r="I98" t="str">
        <f t="shared" ref="I98:I110" si="10">IF(D98&lt;=20%,"Low Discount",IF(D98&lt;=40%,"Medium Discount",IF(D98&gt;=40%,"High Discount")))</f>
        <v>High Discount</v>
      </c>
      <c r="J98" t="str" cm="1">
        <f t="array" ref="J98">_xlfn.IFS(D98&lt;=20%, "Low Discount", D98&lt;=40%, "Medium Discounts", D98&gt;40%, "High Discounts")</f>
        <v>High Discounts</v>
      </c>
      <c r="K98" s="30" t="str">
        <f t="shared" ref="K98:K110" si="11">IF(B98=MAX($B$2:$B$110),"Most Expensive",IF(B98=MIN($B$2:$B$110),"Least Expensive",""))</f>
        <v/>
      </c>
    </row>
    <row r="99" spans="1:11" ht="15.75" x14ac:dyDescent="0.25">
      <c r="A99" t="s">
        <v>100</v>
      </c>
      <c r="B99" s="4">
        <v>1080</v>
      </c>
      <c r="C99" s="4">
        <v>1874</v>
      </c>
      <c r="D99" s="1">
        <v>0.42</v>
      </c>
      <c r="E99">
        <v>3.8889999999999998</v>
      </c>
      <c r="F99">
        <v>0</v>
      </c>
      <c r="G99" s="4">
        <f t="shared" si="9"/>
        <v>794</v>
      </c>
      <c r="H99" t="str" cm="1">
        <f t="array" ref="H99">_xlfn.IFS(E99&lt;=3,"Below",E99&lt;=4.4,"Average",E99&gt;=4.4,"Excellent")</f>
        <v>Average</v>
      </c>
      <c r="I99" t="str">
        <f t="shared" si="10"/>
        <v>High Discount</v>
      </c>
      <c r="J99" t="str" cm="1">
        <f t="array" ref="J99">_xlfn.IFS(D99&lt;=20%, "Low Discount", D99&lt;=40%, "Medium Discounts", D99&gt;40%, "High Discounts")</f>
        <v>High Discounts</v>
      </c>
      <c r="K99" s="30" t="str">
        <f t="shared" si="11"/>
        <v/>
      </c>
    </row>
    <row r="100" spans="1:11" ht="15.75" x14ac:dyDescent="0.25">
      <c r="A100" t="s">
        <v>101</v>
      </c>
      <c r="B100" s="4">
        <v>3640</v>
      </c>
      <c r="C100" s="4">
        <v>4588</v>
      </c>
      <c r="D100" s="1">
        <v>0.21</v>
      </c>
      <c r="E100">
        <v>5</v>
      </c>
      <c r="F100">
        <v>1</v>
      </c>
      <c r="G100" s="4">
        <f t="shared" si="9"/>
        <v>948</v>
      </c>
      <c r="H100" t="str" cm="1">
        <f t="array" ref="H100">_xlfn.IFS(E100&lt;=3,"Below",E100&lt;=4.4,"Average",E100&gt;=4.4,"Excellent")</f>
        <v>Excellent</v>
      </c>
      <c r="I100" t="str">
        <f t="shared" si="10"/>
        <v>Medium Discount</v>
      </c>
      <c r="J100" t="str" cm="1">
        <f t="array" ref="J100">_xlfn.IFS(D100&lt;=20%, "Low Discount", D100&lt;=40%, "Medium Discounts", D100&gt;40%, "High Discounts")</f>
        <v>Medium Discounts</v>
      </c>
      <c r="K100" s="30" t="str">
        <f t="shared" si="11"/>
        <v/>
      </c>
    </row>
    <row r="101" spans="1:11" ht="15.75" x14ac:dyDescent="0.25">
      <c r="A101" t="s">
        <v>102</v>
      </c>
      <c r="B101" s="4">
        <v>1420</v>
      </c>
      <c r="C101" s="4">
        <v>2420</v>
      </c>
      <c r="D101" s="1">
        <v>0.41</v>
      </c>
      <c r="E101">
        <v>3.8889999999999998</v>
      </c>
      <c r="F101">
        <v>0</v>
      </c>
      <c r="G101" s="4">
        <f t="shared" si="9"/>
        <v>1000</v>
      </c>
      <c r="H101" t="str" cm="1">
        <f t="array" ref="H101">_xlfn.IFS(E101&lt;=3,"Below",E101&lt;=4.4,"Average",E101&gt;=4.4,"Excellent")</f>
        <v>Average</v>
      </c>
      <c r="I101" t="str">
        <f t="shared" si="10"/>
        <v>High Discount</v>
      </c>
      <c r="J101" t="str" cm="1">
        <f t="array" ref="J101">_xlfn.IFS(D101&lt;=20%, "Low Discount", D101&lt;=40%, "Medium Discounts", D101&gt;40%, "High Discounts")</f>
        <v>High Discounts</v>
      </c>
      <c r="K101" s="30" t="str">
        <f t="shared" si="11"/>
        <v/>
      </c>
    </row>
    <row r="102" spans="1:11" ht="15.75" x14ac:dyDescent="0.25">
      <c r="A102" t="s">
        <v>103</v>
      </c>
      <c r="B102" s="4">
        <v>1875</v>
      </c>
      <c r="C102" s="4">
        <v>1899</v>
      </c>
      <c r="D102" s="1">
        <v>0.01</v>
      </c>
      <c r="E102">
        <v>3.8889999999999998</v>
      </c>
      <c r="F102">
        <v>0</v>
      </c>
      <c r="G102" s="4">
        <f t="shared" si="9"/>
        <v>24</v>
      </c>
      <c r="H102" t="str" cm="1">
        <f t="array" ref="H102">_xlfn.IFS(E102&lt;=3,"Below",E102&lt;=4.4,"Average",E102&gt;=4.4,"Excellent")</f>
        <v>Average</v>
      </c>
      <c r="I102" t="str">
        <f t="shared" si="10"/>
        <v>Low Discount</v>
      </c>
      <c r="J102" t="str" cm="1">
        <f t="array" ref="J102">_xlfn.IFS(D102&lt;=20%, "Low Discount", D102&lt;=40%, "Medium Discounts", D102&gt;40%, "High Discounts")</f>
        <v>Low Discount</v>
      </c>
      <c r="K102" s="30" t="str">
        <f t="shared" si="11"/>
        <v/>
      </c>
    </row>
    <row r="103" spans="1:11" ht="15.75" x14ac:dyDescent="0.25">
      <c r="A103" t="s">
        <v>104</v>
      </c>
      <c r="B103" s="4">
        <v>198</v>
      </c>
      <c r="C103" s="4">
        <v>260</v>
      </c>
      <c r="D103" s="1">
        <v>0.24</v>
      </c>
      <c r="E103">
        <v>3.8889999999999998</v>
      </c>
      <c r="F103">
        <v>0</v>
      </c>
      <c r="G103" s="4">
        <f t="shared" si="9"/>
        <v>62</v>
      </c>
      <c r="H103" t="str" cm="1">
        <f t="array" ref="H103">_xlfn.IFS(E103&lt;=3,"Below",E103&lt;=4.4,"Average",E103&gt;=4.4,"Excellent")</f>
        <v>Average</v>
      </c>
      <c r="I103" t="str">
        <f t="shared" si="10"/>
        <v>Medium Discount</v>
      </c>
      <c r="J103" t="str" cm="1">
        <f t="array" ref="J103">_xlfn.IFS(D103&lt;=20%, "Low Discount", D103&lt;=40%, "Medium Discounts", D103&gt;40%, "High Discounts")</f>
        <v>Medium Discounts</v>
      </c>
      <c r="K103" s="30" t="str">
        <f t="shared" si="11"/>
        <v/>
      </c>
    </row>
    <row r="104" spans="1:11" ht="15.75" x14ac:dyDescent="0.25">
      <c r="A104" t="s">
        <v>105</v>
      </c>
      <c r="B104" s="4">
        <v>1150</v>
      </c>
      <c r="C104" s="4">
        <v>1737</v>
      </c>
      <c r="D104" s="1">
        <v>0.34</v>
      </c>
      <c r="E104">
        <v>3.8889999999999998</v>
      </c>
      <c r="F104">
        <v>0</v>
      </c>
      <c r="G104" s="4">
        <f t="shared" si="9"/>
        <v>587</v>
      </c>
      <c r="H104" t="str" cm="1">
        <f t="array" ref="H104">_xlfn.IFS(E104&lt;=3,"Below",E104&lt;=4.4,"Average",E104&gt;=4.4,"Excellent")</f>
        <v>Average</v>
      </c>
      <c r="I104" t="str">
        <f t="shared" si="10"/>
        <v>Medium Discount</v>
      </c>
      <c r="J104" t="str" cm="1">
        <f t="array" ref="J104">_xlfn.IFS(D104&lt;=20%, "Low Discount", D104&lt;=40%, "Medium Discounts", D104&gt;40%, "High Discounts")</f>
        <v>Medium Discounts</v>
      </c>
      <c r="K104" s="30" t="str">
        <f t="shared" si="11"/>
        <v/>
      </c>
    </row>
    <row r="105" spans="1:11" ht="15.75" x14ac:dyDescent="0.25">
      <c r="A105" t="s">
        <v>106</v>
      </c>
      <c r="B105" s="4">
        <v>1190</v>
      </c>
      <c r="C105" s="4">
        <v>1810</v>
      </c>
      <c r="D105" s="1">
        <v>0.34</v>
      </c>
      <c r="E105">
        <v>3.8889999999999998</v>
      </c>
      <c r="F105">
        <v>0</v>
      </c>
      <c r="G105" s="4">
        <f t="shared" si="9"/>
        <v>620</v>
      </c>
      <c r="H105" t="str" cm="1">
        <f t="array" ref="H105">_xlfn.IFS(E105&lt;=3,"Below",E105&lt;=4.4,"Average",E105&gt;=4.4,"Excellent")</f>
        <v>Average</v>
      </c>
      <c r="I105" t="str">
        <f t="shared" si="10"/>
        <v>Medium Discount</v>
      </c>
      <c r="J105" t="str" cm="1">
        <f t="array" ref="J105">_xlfn.IFS(D105&lt;=20%, "Low Discount", D105&lt;=40%, "Medium Discounts", D105&gt;40%, "High Discounts")</f>
        <v>Medium Discounts</v>
      </c>
      <c r="K105" s="30" t="str">
        <f t="shared" si="11"/>
        <v/>
      </c>
    </row>
    <row r="106" spans="1:11" ht="15.75" x14ac:dyDescent="0.25">
      <c r="A106" t="s">
        <v>107</v>
      </c>
      <c r="B106" s="4">
        <v>1658</v>
      </c>
      <c r="C106" s="4">
        <v>1699</v>
      </c>
      <c r="D106" s="1">
        <v>0.02</v>
      </c>
      <c r="E106">
        <v>3.8889999999999998</v>
      </c>
      <c r="F106">
        <v>0</v>
      </c>
      <c r="G106" s="4">
        <f t="shared" si="9"/>
        <v>41</v>
      </c>
      <c r="H106" t="str" cm="1">
        <f t="array" ref="H106">_xlfn.IFS(E106&lt;=3,"Below",E106&lt;=4.4,"Average",E106&gt;=4.4,"Excellent")</f>
        <v>Average</v>
      </c>
      <c r="I106" t="str">
        <f t="shared" si="10"/>
        <v>Low Discount</v>
      </c>
      <c r="J106" t="str" cm="1">
        <f t="array" ref="J106">_xlfn.IFS(D106&lt;=20%, "Low Discount", D106&lt;=40%, "Medium Discounts", D106&gt;40%, "High Discounts")</f>
        <v>Low Discount</v>
      </c>
      <c r="K106" s="30" t="str">
        <f t="shared" si="11"/>
        <v/>
      </c>
    </row>
    <row r="107" spans="1:11" ht="15.75" x14ac:dyDescent="0.25">
      <c r="A107" t="s">
        <v>108</v>
      </c>
      <c r="B107" s="4">
        <v>1768</v>
      </c>
      <c r="C107" s="4">
        <v>1799</v>
      </c>
      <c r="D107" s="1">
        <v>0.02</v>
      </c>
      <c r="E107">
        <v>3.8889999999999998</v>
      </c>
      <c r="F107">
        <v>0</v>
      </c>
      <c r="G107" s="4">
        <f t="shared" si="9"/>
        <v>31</v>
      </c>
      <c r="H107" t="str" cm="1">
        <f t="array" ref="H107">_xlfn.IFS(E107&lt;=3,"Below",E107&lt;=4.4,"Average",E107&gt;=4.4,"Excellent")</f>
        <v>Average</v>
      </c>
      <c r="I107" t="str">
        <f t="shared" si="10"/>
        <v>Low Discount</v>
      </c>
      <c r="J107" t="str" cm="1">
        <f t="array" ref="J107">_xlfn.IFS(D107&lt;=20%, "Low Discount", D107&lt;=40%, "Medium Discounts", D107&gt;40%, "High Discounts")</f>
        <v>Low Discount</v>
      </c>
      <c r="K107" s="30" t="str">
        <f t="shared" si="11"/>
        <v/>
      </c>
    </row>
    <row r="108" spans="1:11" ht="15.75" x14ac:dyDescent="0.25">
      <c r="A108" t="s">
        <v>109</v>
      </c>
      <c r="B108" s="4">
        <v>199</v>
      </c>
      <c r="C108" s="4">
        <v>553</v>
      </c>
      <c r="D108" s="1">
        <v>0.64</v>
      </c>
      <c r="E108">
        <v>3.8889999999999998</v>
      </c>
      <c r="F108">
        <v>0</v>
      </c>
      <c r="G108" s="4">
        <f t="shared" si="9"/>
        <v>354</v>
      </c>
      <c r="H108" t="str" cm="1">
        <f t="array" ref="H108">_xlfn.IFS(E108&lt;=3,"Below",E108&lt;=4.4,"Average",E108&gt;=4.4,"Excellent")</f>
        <v>Average</v>
      </c>
      <c r="I108" t="str">
        <f t="shared" si="10"/>
        <v>High Discount</v>
      </c>
      <c r="J108" t="str" cm="1">
        <f t="array" ref="J108">_xlfn.IFS(D108&lt;=20%, "Low Discount", D108&lt;=40%, "Medium Discounts", D108&gt;40%, "High Discounts")</f>
        <v>High Discounts</v>
      </c>
      <c r="K108" s="30" t="str">
        <f t="shared" si="11"/>
        <v/>
      </c>
    </row>
    <row r="109" spans="1:11" ht="15.75" x14ac:dyDescent="0.25">
      <c r="A109" t="s">
        <v>110</v>
      </c>
      <c r="B109" s="4">
        <v>450</v>
      </c>
      <c r="C109" s="4">
        <v>900</v>
      </c>
      <c r="D109" s="1">
        <v>0.5</v>
      </c>
      <c r="E109">
        <v>2</v>
      </c>
      <c r="F109">
        <v>1</v>
      </c>
      <c r="G109" s="4">
        <f t="shared" si="9"/>
        <v>450</v>
      </c>
      <c r="H109" t="str" cm="1">
        <f t="array" ref="H109">_xlfn.IFS(E109&lt;=3,"Below",E109&lt;=4.4,"Average",E109&gt;=4.4,"Excellent")</f>
        <v>Below</v>
      </c>
      <c r="I109" t="str">
        <f t="shared" si="10"/>
        <v>High Discount</v>
      </c>
      <c r="J109" t="str" cm="1">
        <f t="array" ref="J109">_xlfn.IFS(D109&lt;=20%, "Low Discount", D109&lt;=40%, "Medium Discounts", D109&gt;40%, "High Discounts")</f>
        <v>High Discounts</v>
      </c>
      <c r="K109" s="30" t="str">
        <f t="shared" si="11"/>
        <v/>
      </c>
    </row>
    <row r="110" spans="1:11" ht="15.75" x14ac:dyDescent="0.25">
      <c r="A110" t="s">
        <v>111</v>
      </c>
      <c r="B110" s="4">
        <v>169</v>
      </c>
      <c r="C110" s="4">
        <v>320</v>
      </c>
      <c r="D110" s="1">
        <v>0.47</v>
      </c>
      <c r="E110">
        <v>3.8889999999999998</v>
      </c>
      <c r="F110">
        <v>0</v>
      </c>
      <c r="G110" s="4">
        <f t="shared" si="9"/>
        <v>151</v>
      </c>
      <c r="H110" t="str" cm="1">
        <f t="array" ref="H110">_xlfn.IFS(E110&lt;=3,"Below",E110&lt;=4.4,"Average",E110&gt;=4.4,"Excellent")</f>
        <v>Average</v>
      </c>
      <c r="I110" t="str">
        <f t="shared" si="10"/>
        <v>High Discount</v>
      </c>
      <c r="J110" t="str" cm="1">
        <f t="array" ref="J110">_xlfn.IFS(D110&lt;=20%, "Low Discount", D110&lt;=40%, "Medium Discounts", D110&gt;40%, "High Discounts")</f>
        <v>High Discounts</v>
      </c>
      <c r="K110" s="30" t="str">
        <f t="shared" si="11"/>
        <v/>
      </c>
    </row>
    <row r="111" spans="1:11" x14ac:dyDescent="0.25">
      <c r="D111" s="1"/>
      <c r="F111">
        <f>SUBTOTAL(109,Table1[Review Flag])</f>
        <v>723</v>
      </c>
      <c r="G111" s="4"/>
    </row>
    <row r="112" spans="1:11" x14ac:dyDescent="0.25">
      <c r="B112"/>
      <c r="C112"/>
    </row>
    <row r="113" spans="1:9" x14ac:dyDescent="0.25">
      <c r="A113" s="6" t="s">
        <v>117</v>
      </c>
      <c r="B113" s="4">
        <f>MAX(B2:B110)</f>
        <v>3750</v>
      </c>
      <c r="C113"/>
    </row>
    <row r="114" spans="1:9" x14ac:dyDescent="0.25">
      <c r="A114" s="6" t="s">
        <v>118</v>
      </c>
      <c r="B114" s="4">
        <f>MIN(B2:B110)</f>
        <v>38</v>
      </c>
      <c r="E114">
        <f>AVERAGE(E2:E113)</f>
        <v>3.8892477064220223</v>
      </c>
    </row>
    <row r="116" spans="1:9" x14ac:dyDescent="0.25">
      <c r="H116" s="5"/>
      <c r="I116" s="5"/>
    </row>
    <row r="117" spans="1:9" x14ac:dyDescent="0.25">
      <c r="H117">
        <f>MEDIAN(E2:E113)</f>
        <v>3.8889999999999998</v>
      </c>
    </row>
    <row r="119" spans="1:9" ht="15.75" thickBot="1" x14ac:dyDescent="0.3"/>
    <row r="120" spans="1:9" ht="15.75" thickBot="1" x14ac:dyDescent="0.3">
      <c r="B120" s="11" t="s">
        <v>147</v>
      </c>
      <c r="C120" s="12"/>
      <c r="D120" s="13"/>
      <c r="E120" s="14"/>
    </row>
    <row r="121" spans="1:9" ht="15.75" thickBot="1" x14ac:dyDescent="0.3">
      <c r="B121" s="15" t="s">
        <v>148</v>
      </c>
      <c r="C121" s="15" t="s">
        <v>149</v>
      </c>
      <c r="D121" s="16" t="s">
        <v>150</v>
      </c>
      <c r="E121" s="16" t="s">
        <v>151</v>
      </c>
    </row>
    <row r="122" spans="1:9" ht="15.75" thickBot="1" x14ac:dyDescent="0.3">
      <c r="B122" s="18">
        <v>1208.2568807339449</v>
      </c>
      <c r="C122" s="18">
        <v>1837.7522935779816</v>
      </c>
      <c r="D122" s="17">
        <v>0.36385321100917423</v>
      </c>
      <c r="E122" s="19">
        <v>3.8892477064220223</v>
      </c>
    </row>
    <row r="126" spans="1:9" ht="15.75" thickBot="1" x14ac:dyDescent="0.3">
      <c r="B126" t="s">
        <v>171</v>
      </c>
      <c r="C126" s="28">
        <v>109</v>
      </c>
    </row>
    <row r="127" spans="1:9" ht="15.75" thickBot="1" x14ac:dyDescent="0.3">
      <c r="B127" s="4" t="s">
        <v>169</v>
      </c>
      <c r="C127" s="19">
        <v>3.8892477064220223</v>
      </c>
    </row>
    <row r="128" spans="1:9" ht="15.75" thickBot="1" x14ac:dyDescent="0.3">
      <c r="B128" s="4" t="s">
        <v>170</v>
      </c>
      <c r="C128" s="17">
        <v>0.36385321100917423</v>
      </c>
    </row>
    <row r="129" spans="2:3" x14ac:dyDescent="0.25">
      <c r="B129" s="4" t="s">
        <v>172</v>
      </c>
      <c r="C129" s="4">
        <v>723</v>
      </c>
    </row>
  </sheetData>
  <conditionalFormatting sqref="A1:A1048576">
    <cfRule type="duplicateValues" dxfId="0"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Most &amp; Least Expensive</vt:lpstr>
      <vt:lpstr>AVG Rating by Disc &amp; Disc Cat</vt:lpstr>
      <vt:lpstr>Products Distr vs Rating Cat</vt:lpstr>
      <vt:lpstr>Rship btwn Disc% &amp; No. of Rev</vt:lpstr>
      <vt:lpstr>Rship btwn Rating &amp; No. of Rev</vt:lpstr>
      <vt:lpstr>Disc Cat vs Review Flag</vt:lpstr>
      <vt:lpstr>TOP 10 - Highest Disc Prdcts</vt:lpstr>
      <vt:lpstr>TOP 10 - Most reviews</vt:lpstr>
      <vt:lpstr>TOP 5 - Highest rated</vt:lpstr>
      <vt:lpstr>Bottom 5 - Lowest rated</vt:lpstr>
      <vt:lpstr>High Disc vs LowDisc </vt:lpstr>
      <vt:lpstr>Dashboard</vt:lpstr>
      <vt:lpstr>Excel_jumia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ELITEBOOK</dc:creator>
  <cp:lastModifiedBy>Charles Wainaina</cp:lastModifiedBy>
  <dcterms:created xsi:type="dcterms:W3CDTF">2026-01-26T16:05:05Z</dcterms:created>
  <dcterms:modified xsi:type="dcterms:W3CDTF">2026-01-31T16:09:10Z</dcterms:modified>
</cp:coreProperties>
</file>